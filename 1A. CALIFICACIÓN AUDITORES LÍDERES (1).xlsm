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OneDrive - Universidad Nacional de Chimborazo\Desktop\"/>
    </mc:Choice>
  </mc:AlternateContent>
  <xr:revisionPtr revIDLastSave="0" documentId="13_ncr:1_{E4CCC188-2058-45DC-8962-1B48E0F71F1C}" xr6:coauthVersionLast="47" xr6:coauthVersionMax="47" xr10:uidLastSave="{00000000-0000-0000-0000-000000000000}"/>
  <bookViews>
    <workbookView showHorizontalScroll="0" xWindow="1170" yWindow="1170" windowWidth="21600" windowHeight="11295" xr2:uid="{51C6F1D9-E5FA-4C02-9D62-BFF7D46DE9F8}"/>
  </bookViews>
  <sheets>
    <sheet name="Calificación Auditores Líderes" sheetId="1" r:id="rId1"/>
  </sheets>
  <definedNames>
    <definedName name="_xlnm.Print_Area" localSheetId="0">'Calificación Auditores Líderes'!$B$1:$AU$106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79" i="1" l="1"/>
  <c r="AS77" i="1"/>
  <c r="AS76" i="1"/>
  <c r="AS75" i="1"/>
  <c r="AP79" i="1"/>
  <c r="AO79" i="1"/>
  <c r="AO77" i="1"/>
  <c r="AL79" i="1"/>
  <c r="AO76" i="1"/>
  <c r="AO75" i="1"/>
  <c r="AK79" i="1"/>
  <c r="AK77" i="1"/>
  <c r="AK76" i="1"/>
  <c r="AK75" i="1"/>
  <c r="AH79" i="1"/>
  <c r="AG79" i="1"/>
  <c r="AG77" i="1"/>
  <c r="AG76" i="1"/>
  <c r="AG75" i="1"/>
  <c r="AD79" i="1" s="1"/>
  <c r="AC79" i="1"/>
  <c r="AC77" i="1"/>
  <c r="AC76" i="1"/>
  <c r="Z79" i="1" s="1"/>
  <c r="AC75" i="1"/>
  <c r="Y79" i="1"/>
  <c r="Y77" i="1"/>
  <c r="Y76" i="1"/>
  <c r="Y75" i="1"/>
  <c r="V79" i="1"/>
  <c r="U75" i="1"/>
  <c r="R79" i="1" s="1"/>
  <c r="U79" i="1"/>
  <c r="U77" i="1"/>
  <c r="U76" i="1"/>
  <c r="AP53" i="1"/>
  <c r="AL53" i="1"/>
  <c r="AH53" i="1"/>
  <c r="AD53" i="1"/>
  <c r="Z53" i="1"/>
  <c r="V53" i="1"/>
  <c r="R53" i="1"/>
  <c r="AQ38" i="1"/>
  <c r="AQ19" i="1"/>
  <c r="AD12" i="1" l="1"/>
  <c r="AP12" i="1"/>
  <c r="Z12" i="1"/>
  <c r="AH12" i="1"/>
  <c r="V12" i="1"/>
  <c r="AL12" i="1"/>
  <c r="R12" i="1"/>
</calcChain>
</file>

<file path=xl/sharedStrings.xml><?xml version="1.0" encoding="utf-8"?>
<sst xmlns="http://schemas.openxmlformats.org/spreadsheetml/2006/main" count="99" uniqueCount="76">
  <si>
    <t>X</t>
  </si>
  <si>
    <t>Fecha</t>
  </si>
  <si>
    <t>Nombre</t>
  </si>
  <si>
    <t>Calificación</t>
  </si>
  <si>
    <t>ISO 9001</t>
  </si>
  <si>
    <t>ISO 14001</t>
  </si>
  <si>
    <t>OHSAS</t>
  </si>
  <si>
    <t>ISO 17025</t>
  </si>
  <si>
    <t>BASC</t>
  </si>
  <si>
    <t>ISO 13485</t>
  </si>
  <si>
    <t>Otra</t>
  </si>
  <si>
    <t>No  certificado</t>
  </si>
  <si>
    <t>Auditor en entrenamiento (AE)</t>
  </si>
  <si>
    <t>Auditor Certificado (AC)</t>
  </si>
  <si>
    <t>PUNTAJE</t>
  </si>
  <si>
    <t>Técnico en el Sistema de Gestión</t>
  </si>
  <si>
    <t>Profesional</t>
  </si>
  <si>
    <t>Especialización o Maestría</t>
  </si>
  <si>
    <t>INSTITUCIÓN</t>
  </si>
  <si>
    <t>TÍTULO</t>
  </si>
  <si>
    <t>&gt;2 años en el sector</t>
  </si>
  <si>
    <t>De 2 a 3 años en el cargo</t>
  </si>
  <si>
    <t>&gt;3 años en el cargo</t>
  </si>
  <si>
    <t>&gt; 3 años en el cargo con mínimo  2 personas a cargo</t>
  </si>
  <si>
    <t>Formación como auditor</t>
  </si>
  <si>
    <t>Marque con X</t>
  </si>
  <si>
    <t>(Relativos a los sistemas de Gestión)</t>
  </si>
  <si>
    <t>Estudio de normas para desarrollo de documentos que las cumplan</t>
  </si>
  <si>
    <t>Entrenamiento como auditor interno en la norma vigente aplicable al sistema</t>
  </si>
  <si>
    <t>Entrenamiento como auditor interno en varias normas vigentes</t>
  </si>
  <si>
    <t>Especialización o MaestrÍa en Sistemas de Gestión</t>
  </si>
  <si>
    <t>Experiencia en auditorias</t>
  </si>
  <si>
    <t>Ingrese horas</t>
  </si>
  <si>
    <t>(incluir únicamente datos del último año)</t>
  </si>
  <si>
    <t>Como Auditor</t>
  </si>
  <si>
    <t>Como Auditado</t>
  </si>
  <si>
    <t>En Elaboración y/o Revisión de Documentos</t>
  </si>
  <si>
    <t>Atributos personales</t>
  </si>
  <si>
    <t>Favor evaluar al aspirante según sus atributos personales:</t>
  </si>
  <si>
    <t>ETICO</t>
  </si>
  <si>
    <t>Imparcial, sincero, honesto y discreto</t>
  </si>
  <si>
    <t>MENTALIDAD ABIERTA</t>
  </si>
  <si>
    <t>Dispuesto a considerar ideas o puntos de vista alternativos</t>
  </si>
  <si>
    <t>TENAZ</t>
  </si>
  <si>
    <t>Persistente, orientado hacia el logro de los objetivos</t>
  </si>
  <si>
    <t>DECIDIDO</t>
  </si>
  <si>
    <t>Alcanza conclusiones oportunas basadas en el análisis y razonamiento lógicos</t>
  </si>
  <si>
    <t>OBSERVADOR</t>
  </si>
  <si>
    <t>Activamente consciente del entorno físico y las actividades</t>
  </si>
  <si>
    <t>SEGURO</t>
  </si>
  <si>
    <t>Actúa y funciona de forma independiente a la vez que se relaciona eficazmente con otros</t>
  </si>
  <si>
    <t>DIPLOMATICO</t>
  </si>
  <si>
    <t>Tacto en las relaciones con las personas</t>
  </si>
  <si>
    <t>PERCEPTIVO</t>
  </si>
  <si>
    <t>Instintivamente consciente y capaz de entender las situaciones</t>
  </si>
  <si>
    <t>VERSATIL</t>
  </si>
  <si>
    <t>Se adapta fácilmente a diferentes situaciones</t>
  </si>
  <si>
    <t>ACTUA CON FORTALEZA</t>
  </si>
  <si>
    <t>Capaz de actuar ética y responsablemente aún cuando dichas acciones no siempre sean populares y a veces puedan resultar en desacuerdo o confrontación</t>
  </si>
  <si>
    <t>ABIERTO A LA MEJORA</t>
  </si>
  <si>
    <t>Dispuesto a aprender de las situaciones, y en búsqueda de mejores resultados de auditoría</t>
  </si>
  <si>
    <t>COLABORADOR</t>
  </si>
  <si>
    <t>Que interactúa eficientemente con otros, incluyendo los miembros del equipo auditor y el personal del auditado</t>
  </si>
  <si>
    <t>SENSIBLE CULTURALMENTE</t>
  </si>
  <si>
    <t>Observante y respetuosos de la cultura del auditado</t>
  </si>
  <si>
    <r>
      <t xml:space="preserve">Educación
</t>
    </r>
    <r>
      <rPr>
        <sz val="10"/>
        <rFont val="Century Gothic"/>
        <family val="2"/>
      </rPr>
      <t>(Formación profesional)</t>
    </r>
  </si>
  <si>
    <t>Experiencia laboral                     Marque con X</t>
  </si>
  <si>
    <t>Nombres:</t>
  </si>
  <si>
    <t>Cargo:</t>
  </si>
  <si>
    <t>Unidad académica/ administrativa:</t>
  </si>
  <si>
    <t>Técnico en el área
en que labora</t>
  </si>
  <si>
    <t>Analista de Gestión de la Calidad</t>
  </si>
  <si>
    <t>Coordinador de Gestión de la Calidad</t>
  </si>
  <si>
    <t>Información personal del auditor líder</t>
  </si>
  <si>
    <t>Elaborado por:</t>
  </si>
  <si>
    <t>Aprobado por: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</si>
</sst>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"/>
    <numFmt numFmtId="165" formatCode="0.0"/>
    <numFmt numFmtId="166" formatCode="d/mm/yyyy;@"/>
  </numFmts>
  <fonts count="24" x14ac:knownFonts="1">
    <font>
      <sz val="11"/>
      <name val="Arial"/>
    </font>
    <font>
      <sz val="8"/>
      <name val="Arial"/>
      <family val="2"/>
    </font>
    <font>
      <sz val="10"/>
      <name val="Arial"/>
      <family val="2"/>
    </font>
    <font>
      <sz val="9"/>
      <name val="Arial"/>
      <family val="2"/>
    </font>
    <font>
      <u/>
      <sz val="15.95"/>
      <color indexed="12"/>
      <name val="Arial"/>
      <family val="2"/>
    </font>
    <font>
      <b/>
      <sz val="12"/>
      <name val="Arial"/>
      <family val="2"/>
    </font>
    <font>
      <u/>
      <sz val="15.95"/>
      <color indexed="10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11"/>
      <name val="Arial"/>
      <family val="2"/>
    </font>
    <font>
      <sz val="10"/>
      <name val="Century Gothic"/>
      <family val="2"/>
    </font>
    <font>
      <sz val="8"/>
      <name val="Century Gothic"/>
      <family val="2"/>
    </font>
    <font>
      <sz val="9"/>
      <name val="Century Gothic"/>
      <family val="2"/>
    </font>
    <font>
      <b/>
      <sz val="10"/>
      <name val="Century Gothic"/>
      <family val="2"/>
    </font>
    <font>
      <sz val="10"/>
      <color rgb="FFFF0000"/>
      <name val="Century Gothic"/>
      <family val="2"/>
    </font>
    <font>
      <sz val="10"/>
      <color theme="0" tint="-0.14999847407452621"/>
      <name val="Century Gothic"/>
      <family val="2"/>
    </font>
    <font>
      <sz val="10"/>
      <color theme="0"/>
      <name val="Century Gothic"/>
      <family val="2"/>
    </font>
    <font>
      <sz val="10"/>
      <color indexed="9"/>
      <name val="Century Gothic"/>
      <family val="2"/>
    </font>
    <font>
      <sz val="10"/>
      <color indexed="10"/>
      <name val="Century Gothic"/>
      <family val="2"/>
    </font>
    <font>
      <u/>
      <sz val="10"/>
      <color indexed="12"/>
      <name val="Century Gothic"/>
      <family val="2"/>
    </font>
    <font>
      <b/>
      <sz val="9"/>
      <name val="Century Gothic"/>
      <family val="2"/>
    </font>
    <font>
      <b/>
      <sz val="8"/>
      <name val="Century Gothic"/>
      <family val="2"/>
    </font>
    <font>
      <sz val="7"/>
      <name val="Century Gothic"/>
      <family val="2"/>
    </font>
    <font>
      <b/>
      <sz val="10"/>
      <color theme="0"/>
      <name val="Century Gothic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679555650502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D1423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91">
    <xf numFmtId="0" fontId="0" fillId="0" borderId="0" xfId="0"/>
    <xf numFmtId="49" fontId="2" fillId="2" borderId="1" xfId="0" applyNumberFormat="1" applyFont="1" applyFill="1" applyBorder="1" applyAlignment="1">
      <alignment vertical="center" wrapText="1"/>
    </xf>
    <xf numFmtId="49" fontId="2" fillId="2" borderId="2" xfId="0" applyNumberFormat="1" applyFont="1" applyFill="1" applyBorder="1" applyAlignment="1">
      <alignment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3" xfId="0" applyNumberFormat="1" applyFont="1" applyFill="1" applyBorder="1" applyAlignment="1">
      <alignment vertical="center" wrapText="1"/>
    </xf>
    <xf numFmtId="49" fontId="2" fillId="2" borderId="0" xfId="0" applyNumberFormat="1" applyFont="1" applyFill="1" applyAlignment="1">
      <alignment vertical="center" wrapText="1"/>
    </xf>
    <xf numFmtId="49" fontId="2" fillId="2" borderId="4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2" fontId="2" fillId="2" borderId="0" xfId="0" applyNumberFormat="1" applyFont="1" applyFill="1" applyAlignment="1">
      <alignment vertical="center" wrapText="1"/>
    </xf>
    <xf numFmtId="49" fontId="2" fillId="0" borderId="23" xfId="0" applyNumberFormat="1" applyFont="1" applyBorder="1" applyAlignment="1">
      <alignment vertical="center" wrapText="1"/>
    </xf>
    <xf numFmtId="49" fontId="2" fillId="0" borderId="0" xfId="0" applyNumberFormat="1" applyFont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wrapText="1"/>
    </xf>
    <xf numFmtId="49" fontId="6" fillId="2" borderId="0" xfId="1" applyNumberFormat="1" applyFont="1" applyFill="1" applyAlignment="1" applyProtection="1">
      <alignment vertical="center" wrapText="1"/>
    </xf>
    <xf numFmtId="49" fontId="7" fillId="2" borderId="0" xfId="0" applyNumberFormat="1" applyFont="1" applyFill="1" applyAlignment="1">
      <alignment vertical="center" wrapText="1"/>
    </xf>
    <xf numFmtId="49" fontId="8" fillId="0" borderId="0" xfId="0" applyNumberFormat="1" applyFont="1" applyAlignment="1">
      <alignment vertical="center" wrapText="1"/>
    </xf>
    <xf numFmtId="49" fontId="8" fillId="2" borderId="0" xfId="0" applyNumberFormat="1" applyFont="1" applyFill="1" applyAlignment="1">
      <alignment vertical="center" wrapText="1"/>
    </xf>
    <xf numFmtId="49" fontId="8" fillId="2" borderId="0" xfId="0" applyNumberFormat="1" applyFont="1" applyFill="1" applyAlignment="1">
      <alignment horizontal="center" vertical="center" wrapText="1"/>
    </xf>
    <xf numFmtId="49" fontId="3" fillId="0" borderId="0" xfId="0" applyNumberFormat="1" applyFont="1" applyAlignment="1">
      <alignment vertical="center" wrapText="1"/>
    </xf>
    <xf numFmtId="49" fontId="3" fillId="0" borderId="4" xfId="0" applyNumberFormat="1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49" fontId="10" fillId="2" borderId="0" xfId="0" applyNumberFormat="1" applyFont="1" applyFill="1" applyAlignment="1">
      <alignment vertical="center" wrapText="1"/>
    </xf>
    <xf numFmtId="49" fontId="10" fillId="2" borderId="5" xfId="0" applyNumberFormat="1" applyFont="1" applyFill="1" applyBorder="1" applyAlignment="1">
      <alignment vertical="center" wrapText="1"/>
    </xf>
    <xf numFmtId="49" fontId="10" fillId="2" borderId="0" xfId="0" applyNumberFormat="1" applyFont="1" applyFill="1" applyAlignment="1" applyProtection="1">
      <alignment vertical="center" wrapText="1"/>
      <protection locked="0"/>
    </xf>
    <xf numFmtId="49" fontId="10" fillId="2" borderId="0" xfId="0" applyNumberFormat="1" applyFont="1" applyFill="1" applyAlignment="1">
      <alignment horizontal="center" vertical="center" wrapText="1"/>
    </xf>
    <xf numFmtId="166" fontId="10" fillId="2" borderId="0" xfId="0" applyNumberFormat="1" applyFont="1" applyFill="1" applyAlignment="1">
      <alignment horizontal="center" vertical="center" wrapText="1"/>
    </xf>
    <xf numFmtId="0" fontId="10" fillId="2" borderId="0" xfId="0" applyFont="1" applyFill="1" applyAlignment="1">
      <alignment horizontal="left" vertical="center" wrapText="1"/>
    </xf>
    <xf numFmtId="0" fontId="10" fillId="2" borderId="0" xfId="0" applyFont="1" applyFill="1" applyAlignment="1">
      <alignment vertical="center" wrapText="1"/>
    </xf>
    <xf numFmtId="0" fontId="10" fillId="2" borderId="0" xfId="0" applyFont="1" applyFill="1" applyAlignment="1">
      <alignment horizontal="right" vertical="center" wrapText="1"/>
    </xf>
    <xf numFmtId="0" fontId="10" fillId="2" borderId="7" xfId="0" applyFont="1" applyFill="1" applyBorder="1" applyAlignment="1">
      <alignment horizontal="left" vertical="center" wrapText="1"/>
    </xf>
    <xf numFmtId="0" fontId="10" fillId="2" borderId="8" xfId="0" applyFont="1" applyFill="1" applyBorder="1" applyAlignment="1">
      <alignment horizontal="left" vertical="center" wrapText="1"/>
    </xf>
    <xf numFmtId="0" fontId="10" fillId="2" borderId="8" xfId="0" applyFont="1" applyFill="1" applyBorder="1" applyAlignment="1">
      <alignment vertical="center" wrapText="1"/>
    </xf>
    <xf numFmtId="49" fontId="10" fillId="2" borderId="8" xfId="0" applyNumberFormat="1" applyFont="1" applyFill="1" applyBorder="1" applyAlignment="1">
      <alignment vertical="center" wrapText="1"/>
    </xf>
    <xf numFmtId="49" fontId="10" fillId="2" borderId="9" xfId="0" applyNumberFormat="1" applyFont="1" applyFill="1" applyBorder="1" applyAlignment="1">
      <alignment vertical="center" wrapText="1"/>
    </xf>
    <xf numFmtId="49" fontId="10" fillId="2" borderId="10" xfId="0" applyNumberFormat="1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49" fontId="10" fillId="2" borderId="12" xfId="0" applyNumberFormat="1" applyFont="1" applyFill="1" applyBorder="1" applyAlignment="1">
      <alignment vertical="center" wrapText="1"/>
    </xf>
    <xf numFmtId="49" fontId="10" fillId="2" borderId="11" xfId="0" applyNumberFormat="1" applyFont="1" applyFill="1" applyBorder="1" applyAlignment="1">
      <alignment vertical="center" wrapText="1"/>
    </xf>
    <xf numFmtId="0" fontId="10" fillId="0" borderId="26" xfId="0" applyFont="1" applyBorder="1" applyAlignment="1">
      <alignment vertical="center" wrapText="1"/>
    </xf>
    <xf numFmtId="49" fontId="10" fillId="0" borderId="0" xfId="0" applyNumberFormat="1" applyFont="1" applyAlignment="1">
      <alignment vertical="center" wrapText="1"/>
    </xf>
    <xf numFmtId="49" fontId="10" fillId="0" borderId="27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vertical="center" wrapText="1"/>
    </xf>
    <xf numFmtId="49" fontId="12" fillId="0" borderId="0" xfId="0" applyNumberFormat="1" applyFont="1" applyAlignment="1">
      <alignment vertical="center" wrapText="1"/>
    </xf>
    <xf numFmtId="0" fontId="10" fillId="0" borderId="13" xfId="0" applyFont="1" applyBorder="1" applyAlignment="1">
      <alignment vertical="center" wrapText="1"/>
    </xf>
    <xf numFmtId="49" fontId="10" fillId="0" borderId="14" xfId="0" applyNumberFormat="1" applyFont="1" applyBorder="1" applyAlignment="1">
      <alignment vertical="center" wrapText="1"/>
    </xf>
    <xf numFmtId="49" fontId="10" fillId="0" borderId="15" xfId="0" applyNumberFormat="1" applyFont="1" applyBorder="1" applyAlignment="1">
      <alignment vertical="center" wrapText="1"/>
    </xf>
    <xf numFmtId="49" fontId="10" fillId="2" borderId="16" xfId="0" applyNumberFormat="1" applyFont="1" applyFill="1" applyBorder="1" applyAlignment="1">
      <alignment vertical="center" wrapText="1"/>
    </xf>
    <xf numFmtId="49" fontId="10" fillId="2" borderId="17" xfId="0" applyNumberFormat="1" applyFont="1" applyFill="1" applyBorder="1" applyAlignment="1">
      <alignment vertical="center" wrapText="1"/>
    </xf>
    <xf numFmtId="49" fontId="10" fillId="0" borderId="10" xfId="0" applyNumberFormat="1" applyFont="1" applyBorder="1" applyAlignment="1">
      <alignment vertical="center" wrapText="1"/>
    </xf>
    <xf numFmtId="1" fontId="10" fillId="2" borderId="0" xfId="0" applyNumberFormat="1" applyFont="1" applyFill="1" applyAlignment="1">
      <alignment vertical="center" wrapText="1"/>
    </xf>
    <xf numFmtId="49" fontId="10" fillId="0" borderId="6" xfId="0" applyNumberFormat="1" applyFont="1" applyBorder="1" applyAlignment="1">
      <alignment vertical="center" wrapText="1"/>
    </xf>
    <xf numFmtId="49" fontId="10" fillId="0" borderId="17" xfId="0" applyNumberFormat="1" applyFont="1" applyBorder="1" applyAlignment="1">
      <alignment vertical="center" wrapText="1"/>
    </xf>
    <xf numFmtId="49" fontId="10" fillId="2" borderId="18" xfId="0" applyNumberFormat="1" applyFont="1" applyFill="1" applyBorder="1" applyAlignment="1">
      <alignment vertical="center" wrapText="1"/>
    </xf>
    <xf numFmtId="49" fontId="10" fillId="2" borderId="28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6" xfId="0" applyNumberFormat="1" applyFont="1" applyFill="1" applyBorder="1" applyAlignment="1">
      <alignment vertical="center" wrapText="1"/>
    </xf>
    <xf numFmtId="49" fontId="10" fillId="2" borderId="19" xfId="0" applyNumberFormat="1" applyFont="1" applyFill="1" applyBorder="1" applyAlignment="1">
      <alignment vertical="center" wrapText="1"/>
    </xf>
    <xf numFmtId="49" fontId="10" fillId="2" borderId="22" xfId="0" applyNumberFormat="1" applyFont="1" applyFill="1" applyBorder="1" applyAlignment="1">
      <alignment vertical="center" wrapText="1"/>
    </xf>
    <xf numFmtId="49" fontId="10" fillId="0" borderId="20" xfId="0" applyNumberFormat="1" applyFont="1" applyBorder="1" applyAlignment="1">
      <alignment vertical="center" wrapText="1"/>
    </xf>
    <xf numFmtId="49" fontId="10" fillId="2" borderId="20" xfId="0" applyNumberFormat="1" applyFont="1" applyFill="1" applyBorder="1" applyAlignment="1">
      <alignment vertical="center" wrapText="1"/>
    </xf>
    <xf numFmtId="49" fontId="10" fillId="2" borderId="21" xfId="0" applyNumberFormat="1" applyFont="1" applyFill="1" applyBorder="1" applyAlignment="1">
      <alignment vertical="center" wrapText="1"/>
    </xf>
    <xf numFmtId="0" fontId="11" fillId="2" borderId="0" xfId="0" applyFont="1" applyFill="1" applyAlignment="1" applyProtection="1">
      <alignment vertical="center" wrapText="1"/>
      <protection locked="0"/>
    </xf>
    <xf numFmtId="49" fontId="10" fillId="0" borderId="18" xfId="0" applyNumberFormat="1" applyFont="1" applyBorder="1" applyAlignment="1">
      <alignment vertical="center" wrapText="1"/>
    </xf>
    <xf numFmtId="49" fontId="10" fillId="0" borderId="24" xfId="0" applyNumberFormat="1" applyFont="1" applyBorder="1" applyAlignment="1">
      <alignment vertical="center" wrapText="1"/>
    </xf>
    <xf numFmtId="49" fontId="10" fillId="0" borderId="25" xfId="0" applyNumberFormat="1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165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4" fillId="3" borderId="0" xfId="0" applyFont="1" applyFill="1" applyAlignment="1">
      <alignment vertical="center" wrapText="1"/>
    </xf>
    <xf numFmtId="0" fontId="10" fillId="0" borderId="14" xfId="0" applyFont="1" applyBorder="1" applyAlignment="1">
      <alignment vertical="center" wrapText="1"/>
    </xf>
    <xf numFmtId="165" fontId="13" fillId="0" borderId="14" xfId="0" applyNumberFormat="1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0" fillId="2" borderId="22" xfId="0" applyFont="1" applyFill="1" applyBorder="1" applyAlignment="1">
      <alignment vertical="center" wrapText="1"/>
    </xf>
    <xf numFmtId="0" fontId="10" fillId="2" borderId="16" xfId="0" applyFont="1" applyFill="1" applyBorder="1" applyAlignment="1">
      <alignment vertical="center" wrapText="1"/>
    </xf>
    <xf numFmtId="0" fontId="10" fillId="2" borderId="16" xfId="0" applyFont="1" applyFill="1" applyBorder="1" applyAlignment="1">
      <alignment horizontal="center" vertical="center" wrapText="1"/>
    </xf>
    <xf numFmtId="164" fontId="10" fillId="2" borderId="16" xfId="0" applyNumberFormat="1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164" fontId="10" fillId="2" borderId="0" xfId="0" applyNumberFormat="1" applyFont="1" applyFill="1" applyAlignment="1">
      <alignment horizontal="center" vertical="center" wrapText="1"/>
    </xf>
    <xf numFmtId="0" fontId="10" fillId="2" borderId="28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Alignment="1" applyProtection="1">
      <alignment horizontal="center" vertical="center" wrapText="1"/>
      <protection locked="0"/>
    </xf>
    <xf numFmtId="0" fontId="10" fillId="2" borderId="18" xfId="0" applyFont="1" applyFill="1" applyBorder="1" applyAlignment="1" applyProtection="1">
      <alignment vertical="center" wrapText="1"/>
      <protection locked="0"/>
    </xf>
    <xf numFmtId="0" fontId="10" fillId="2" borderId="0" xfId="0" applyFont="1" applyFill="1" applyAlignment="1" applyProtection="1">
      <alignment vertical="center" wrapText="1"/>
      <protection locked="0"/>
    </xf>
    <xf numFmtId="0" fontId="10" fillId="2" borderId="21" xfId="0" applyFont="1" applyFill="1" applyBorder="1" applyAlignment="1" applyProtection="1">
      <alignment vertical="center" wrapText="1"/>
      <protection locked="0"/>
    </xf>
    <xf numFmtId="0" fontId="10" fillId="2" borderId="29" xfId="0" applyFont="1" applyFill="1" applyBorder="1" applyAlignment="1" applyProtection="1">
      <alignment vertical="center" wrapText="1"/>
      <protection locked="0"/>
    </xf>
    <xf numFmtId="0" fontId="10" fillId="2" borderId="29" xfId="0" applyFont="1" applyFill="1" applyBorder="1" applyAlignment="1">
      <alignment vertical="center" wrapText="1"/>
    </xf>
    <xf numFmtId="0" fontId="10" fillId="2" borderId="6" xfId="0" applyFont="1" applyFill="1" applyBorder="1" applyAlignment="1" applyProtection="1">
      <alignment vertical="center" wrapText="1"/>
      <protection locked="0"/>
    </xf>
    <xf numFmtId="0" fontId="10" fillId="2" borderId="6" xfId="0" applyFont="1" applyFill="1" applyBorder="1" applyAlignment="1">
      <alignment vertical="center" wrapText="1"/>
    </xf>
    <xf numFmtId="0" fontId="10" fillId="2" borderId="21" xfId="0" applyFont="1" applyFill="1" applyBorder="1" applyAlignment="1">
      <alignment vertical="center" wrapText="1"/>
    </xf>
    <xf numFmtId="0" fontId="10" fillId="2" borderId="6" xfId="0" applyFont="1" applyFill="1" applyBorder="1" applyAlignment="1">
      <alignment horizontal="center" vertical="center" wrapText="1"/>
    </xf>
    <xf numFmtId="164" fontId="10" fillId="2" borderId="6" xfId="0" applyNumberFormat="1" applyFont="1" applyFill="1" applyBorder="1" applyAlignment="1">
      <alignment horizontal="center" vertical="center" wrapText="1"/>
    </xf>
    <xf numFmtId="0" fontId="13" fillId="2" borderId="0" xfId="0" applyFont="1" applyFill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left" vertical="center" wrapText="1"/>
    </xf>
    <xf numFmtId="165" fontId="16" fillId="2" borderId="0" xfId="0" applyNumberFormat="1" applyFont="1" applyFill="1" applyAlignment="1">
      <alignment vertical="center" wrapText="1"/>
    </xf>
    <xf numFmtId="165" fontId="17" fillId="2" borderId="0" xfId="0" applyNumberFormat="1" applyFont="1" applyFill="1" applyAlignment="1">
      <alignment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10" fillId="2" borderId="20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vertical="center" wrapText="1"/>
    </xf>
    <xf numFmtId="0" fontId="13" fillId="2" borderId="18" xfId="0" applyFont="1" applyFill="1" applyBorder="1" applyAlignment="1">
      <alignment horizontal="left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18" xfId="0" applyFont="1" applyFill="1" applyBorder="1" applyAlignment="1">
      <alignment horizontal="left" vertical="center" wrapText="1"/>
    </xf>
    <xf numFmtId="49" fontId="14" fillId="2" borderId="0" xfId="0" applyNumberFormat="1" applyFont="1" applyFill="1" applyAlignment="1">
      <alignment vertical="center" wrapText="1"/>
    </xf>
    <xf numFmtId="0" fontId="16" fillId="2" borderId="0" xfId="0" applyFont="1" applyFill="1" applyAlignment="1">
      <alignment vertical="center" wrapText="1"/>
    </xf>
    <xf numFmtId="0" fontId="10" fillId="2" borderId="21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3" fillId="2" borderId="21" xfId="0" applyFont="1" applyFill="1" applyBorder="1" applyAlignment="1">
      <alignment horizontal="center" vertical="center" wrapText="1"/>
    </xf>
    <xf numFmtId="0" fontId="13" fillId="2" borderId="6" xfId="0" applyFont="1" applyFill="1" applyBorder="1" applyAlignment="1">
      <alignment horizontal="center" vertical="center" wrapText="1"/>
    </xf>
    <xf numFmtId="0" fontId="13" fillId="2" borderId="6" xfId="0" applyFont="1" applyFill="1" applyBorder="1" applyAlignment="1">
      <alignment vertical="center" wrapText="1"/>
    </xf>
    <xf numFmtId="0" fontId="13" fillId="2" borderId="6" xfId="0" applyFont="1" applyFill="1" applyBorder="1" applyAlignment="1">
      <alignment horizontal="justify" vertical="center" wrapText="1"/>
    </xf>
    <xf numFmtId="0" fontId="19" fillId="2" borderId="6" xfId="1" applyFont="1" applyFill="1" applyBorder="1" applyAlignment="1" applyProtection="1">
      <alignment horizontal="center" vertical="center" wrapText="1"/>
    </xf>
    <xf numFmtId="0" fontId="10" fillId="0" borderId="24" xfId="0" applyFont="1" applyBorder="1" applyAlignment="1">
      <alignment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2" borderId="27" xfId="0" applyFont="1" applyFill="1" applyBorder="1" applyAlignment="1">
      <alignment vertical="center" wrapText="1"/>
    </xf>
    <xf numFmtId="0" fontId="13" fillId="2" borderId="7" xfId="0" applyFont="1" applyFill="1" applyBorder="1" applyAlignment="1">
      <alignment horizontal="left" vertical="center" wrapText="1"/>
    </xf>
    <xf numFmtId="0" fontId="13" fillId="2" borderId="8" xfId="0" applyFont="1" applyFill="1" applyBorder="1" applyAlignment="1">
      <alignment horizontal="left" vertical="center" wrapText="1"/>
    </xf>
    <xf numFmtId="0" fontId="13" fillId="2" borderId="9" xfId="0" applyFont="1" applyFill="1" applyBorder="1" applyAlignment="1">
      <alignment vertical="center" wrapText="1"/>
    </xf>
    <xf numFmtId="49" fontId="13" fillId="0" borderId="0" xfId="1" applyNumberFormat="1" applyFont="1" applyBorder="1" applyAlignment="1" applyProtection="1">
      <alignment vertical="center" wrapText="1"/>
      <protection locked="0"/>
    </xf>
    <xf numFmtId="49" fontId="16" fillId="8" borderId="7" xfId="0" applyNumberFormat="1" applyFont="1" applyFill="1" applyBorder="1" applyAlignment="1">
      <alignment vertical="center" wrapText="1"/>
    </xf>
    <xf numFmtId="0" fontId="13" fillId="0" borderId="26" xfId="0" applyFont="1" applyBorder="1" applyAlignment="1">
      <alignment vertical="center" wrapText="1"/>
    </xf>
    <xf numFmtId="49" fontId="2" fillId="0" borderId="18" xfId="0" applyNumberFormat="1" applyFont="1" applyBorder="1" applyAlignment="1">
      <alignment vertical="center" wrapText="1"/>
    </xf>
    <xf numFmtId="165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49" fontId="13" fillId="0" borderId="27" xfId="0" applyNumberFormat="1" applyFont="1" applyBorder="1" applyAlignment="1">
      <alignment horizontal="center" vertical="center" wrapText="1"/>
    </xf>
    <xf numFmtId="49" fontId="13" fillId="0" borderId="14" xfId="0" applyNumberFormat="1" applyFont="1" applyBorder="1" applyAlignment="1">
      <alignment horizontal="center" vertical="center" wrapText="1"/>
    </xf>
    <xf numFmtId="49" fontId="13" fillId="0" borderId="15" xfId="0" applyNumberFormat="1" applyFont="1" applyBorder="1" applyAlignment="1">
      <alignment horizontal="center" vertical="center" wrapText="1"/>
    </xf>
    <xf numFmtId="0" fontId="23" fillId="8" borderId="7" xfId="0" applyFont="1" applyFill="1" applyBorder="1" applyAlignment="1">
      <alignment horizontal="center" vertical="center" wrapText="1"/>
    </xf>
    <xf numFmtId="0" fontId="23" fillId="8" borderId="8" xfId="0" applyFont="1" applyFill="1" applyBorder="1" applyAlignment="1">
      <alignment horizontal="center" vertical="center" wrapText="1"/>
    </xf>
    <xf numFmtId="0" fontId="23" fillId="8" borderId="9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 applyProtection="1">
      <alignment horizontal="left" vertical="center" wrapText="1"/>
      <protection locked="0"/>
    </xf>
    <xf numFmtId="0" fontId="12" fillId="2" borderId="0" xfId="0" applyFont="1" applyFill="1" applyAlignment="1">
      <alignment horizontal="left" vertical="center" wrapText="1"/>
    </xf>
    <xf numFmtId="0" fontId="11" fillId="2" borderId="0" xfId="0" applyFont="1" applyFill="1" applyAlignment="1">
      <alignment horizontal="left" vertical="center" wrapText="1"/>
    </xf>
    <xf numFmtId="0" fontId="12" fillId="2" borderId="32" xfId="0" applyFont="1" applyFill="1" applyBorder="1" applyAlignment="1">
      <alignment horizontal="left" vertical="center" wrapText="1"/>
    </xf>
    <xf numFmtId="0" fontId="12" fillId="2" borderId="14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 applyProtection="1">
      <alignment horizontal="center" vertical="center" wrapText="1"/>
      <protection locked="0"/>
    </xf>
    <xf numFmtId="0" fontId="13" fillId="2" borderId="18" xfId="0" applyFont="1" applyFill="1" applyBorder="1" applyAlignment="1">
      <alignment horizontal="left" vertical="center" wrapText="1"/>
    </xf>
    <xf numFmtId="0" fontId="13" fillId="2" borderId="0" xfId="0" applyFont="1" applyFill="1" applyAlignment="1">
      <alignment horizontal="left" vertical="center" wrapText="1"/>
    </xf>
    <xf numFmtId="0" fontId="13" fillId="6" borderId="6" xfId="0" applyFont="1" applyFill="1" applyBorder="1" applyAlignment="1">
      <alignment horizontal="center" vertical="center" wrapText="1"/>
    </xf>
    <xf numFmtId="165" fontId="13" fillId="0" borderId="0" xfId="0" applyNumberFormat="1" applyFont="1" applyAlignment="1">
      <alignment horizontal="left" vertical="center" wrapText="1"/>
    </xf>
    <xf numFmtId="0" fontId="10" fillId="2" borderId="29" xfId="0" applyFont="1" applyFill="1" applyBorder="1" applyAlignment="1" applyProtection="1">
      <alignment horizontal="center" vertical="center" wrapText="1"/>
      <protection locked="0"/>
    </xf>
    <xf numFmtId="0" fontId="10" fillId="2" borderId="29" xfId="0" applyFont="1" applyFill="1" applyBorder="1" applyAlignment="1" applyProtection="1">
      <alignment horizontal="justify" vertical="center" wrapText="1"/>
      <protection locked="0"/>
    </xf>
    <xf numFmtId="0" fontId="10" fillId="2" borderId="6" xfId="0" applyFont="1" applyFill="1" applyBorder="1" applyAlignment="1" applyProtection="1">
      <alignment horizontal="justify" vertical="center" wrapText="1"/>
      <protection locked="0"/>
    </xf>
    <xf numFmtId="0" fontId="11" fillId="2" borderId="30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0" fontId="11" fillId="2" borderId="31" xfId="0" applyFont="1" applyFill="1" applyBorder="1" applyAlignment="1">
      <alignment horizontal="center" vertical="center" wrapText="1"/>
    </xf>
    <xf numFmtId="0" fontId="22" fillId="2" borderId="18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49" fontId="10" fillId="0" borderId="0" xfId="0" applyNumberFormat="1" applyFont="1" applyAlignment="1">
      <alignment horizontal="left" vertical="center" wrapText="1"/>
    </xf>
    <xf numFmtId="49" fontId="10" fillId="4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horizontal="left" vertical="center" wrapText="1"/>
    </xf>
    <xf numFmtId="0" fontId="13" fillId="7" borderId="0" xfId="0" applyFont="1" applyFill="1" applyAlignment="1">
      <alignment horizontal="center" vertical="center" wrapText="1"/>
    </xf>
    <xf numFmtId="1" fontId="13" fillId="5" borderId="30" xfId="0" applyNumberFormat="1" applyFont="1" applyFill="1" applyBorder="1" applyAlignment="1">
      <alignment horizontal="center" vertical="center" wrapText="1"/>
    </xf>
    <xf numFmtId="1" fontId="13" fillId="5" borderId="29" xfId="0" applyNumberFormat="1" applyFont="1" applyFill="1" applyBorder="1" applyAlignment="1">
      <alignment horizontal="center" vertical="center" wrapText="1"/>
    </xf>
    <xf numFmtId="1" fontId="13" fillId="5" borderId="31" xfId="0" applyNumberFormat="1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right" vertical="center" wrapText="1"/>
    </xf>
    <xf numFmtId="49" fontId="10" fillId="2" borderId="0" xfId="0" applyNumberFormat="1" applyFont="1" applyFill="1" applyAlignment="1">
      <alignment horizontal="center" vertical="center" wrapText="1"/>
    </xf>
    <xf numFmtId="0" fontId="20" fillId="2" borderId="0" xfId="0" applyFont="1" applyFill="1" applyAlignment="1">
      <alignment horizontal="left" vertical="center" wrapText="1"/>
    </xf>
    <xf numFmtId="0" fontId="13" fillId="2" borderId="26" xfId="0" applyFont="1" applyFill="1" applyBorder="1" applyAlignment="1">
      <alignment horizontal="center" vertical="center" wrapText="1"/>
    </xf>
    <xf numFmtId="49" fontId="21" fillId="2" borderId="0" xfId="0" applyNumberFormat="1" applyFont="1" applyFill="1" applyAlignment="1">
      <alignment horizontal="left" vertical="center" wrapText="1"/>
    </xf>
    <xf numFmtId="49" fontId="10" fillId="2" borderId="0" xfId="0" applyNumberFormat="1" applyFont="1" applyFill="1" applyAlignment="1" applyProtection="1">
      <alignment horizontal="center" vertical="center" wrapText="1"/>
      <protection locked="0"/>
    </xf>
    <xf numFmtId="49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5" fontId="10" fillId="2" borderId="21" xfId="0" applyNumberFormat="1" applyFont="1" applyFill="1" applyBorder="1" applyAlignment="1" applyProtection="1">
      <alignment horizontal="center" vertical="center" wrapText="1"/>
      <protection locked="0"/>
    </xf>
    <xf numFmtId="15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5" fontId="10" fillId="2" borderId="19" xfId="0" applyNumberFormat="1" applyFont="1" applyFill="1" applyBorder="1" applyAlignment="1" applyProtection="1">
      <alignment horizontal="center" vertical="center" wrapText="1"/>
      <protection locked="0"/>
    </xf>
    <xf numFmtId="0" fontId="10" fillId="2" borderId="22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 wrapText="1"/>
    </xf>
    <xf numFmtId="49" fontId="10" fillId="2" borderId="27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Alignment="1">
      <alignment horizontal="center" vertical="center" wrapText="1"/>
    </xf>
    <xf numFmtId="49" fontId="11" fillId="2" borderId="27" xfId="0" applyNumberFormat="1" applyFont="1" applyFill="1" applyBorder="1" applyAlignment="1">
      <alignment horizontal="center" vertical="center" wrapText="1"/>
    </xf>
    <xf numFmtId="49" fontId="10" fillId="2" borderId="18" xfId="0" applyNumberFormat="1" applyFont="1" applyFill="1" applyBorder="1" applyAlignment="1">
      <alignment horizontal="center" vertical="center" wrapText="1"/>
    </xf>
    <xf numFmtId="0" fontId="11" fillId="2" borderId="33" xfId="0" applyFont="1" applyFill="1" applyBorder="1" applyAlignment="1">
      <alignment horizontal="left" vertical="center" wrapText="1"/>
    </xf>
    <xf numFmtId="0" fontId="11" fillId="2" borderId="34" xfId="0" applyFont="1" applyFill="1" applyBorder="1" applyAlignment="1">
      <alignment horizontal="left" vertical="center" wrapText="1"/>
    </xf>
    <xf numFmtId="0" fontId="10" fillId="2" borderId="18" xfId="0" applyFont="1" applyFill="1" applyBorder="1" applyAlignment="1">
      <alignment horizontal="left" vertical="center" wrapText="1"/>
    </xf>
    <xf numFmtId="0" fontId="10" fillId="2" borderId="0" xfId="0" applyFont="1" applyFill="1" applyAlignment="1">
      <alignment horizontal="left" vertical="center" wrapText="1"/>
    </xf>
    <xf numFmtId="0" fontId="11" fillId="2" borderId="32" xfId="0" applyFont="1" applyFill="1" applyBorder="1" applyAlignment="1">
      <alignment horizontal="left" vertical="center" wrapText="1"/>
    </xf>
    <xf numFmtId="0" fontId="11" fillId="2" borderId="14" xfId="0" applyFont="1" applyFill="1" applyBorder="1" applyAlignment="1">
      <alignment horizontal="left" vertical="center" wrapText="1"/>
    </xf>
    <xf numFmtId="0" fontId="10" fillId="2" borderId="29" xfId="0" applyFont="1" applyFill="1" applyBorder="1" applyAlignment="1" applyProtection="1">
      <alignment horizontal="left" vertical="center" wrapText="1"/>
      <protection locked="0"/>
    </xf>
    <xf numFmtId="0" fontId="12" fillId="2" borderId="33" xfId="0" applyFont="1" applyFill="1" applyBorder="1" applyAlignment="1">
      <alignment horizontal="left" vertical="center" wrapText="1"/>
    </xf>
    <xf numFmtId="0" fontId="12" fillId="2" borderId="34" xfId="0" applyFont="1" applyFill="1" applyBorder="1" applyAlignment="1">
      <alignment horizontal="left" vertical="center" wrapText="1"/>
    </xf>
    <xf numFmtId="0" fontId="13" fillId="2" borderId="27" xfId="0" applyFont="1" applyFill="1" applyBorder="1" applyAlignment="1">
      <alignment horizontal="center" vertical="center" wrapText="1"/>
    </xf>
    <xf numFmtId="0" fontId="13" fillId="2" borderId="13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49" fontId="20" fillId="0" borderId="13" xfId="1" applyNumberFormat="1" applyFont="1" applyBorder="1" applyAlignment="1" applyProtection="1">
      <alignment horizontal="center" vertical="center" wrapText="1"/>
      <protection locked="0"/>
    </xf>
    <xf numFmtId="49" fontId="20" fillId="0" borderId="14" xfId="1" applyNumberFormat="1" applyFont="1" applyBorder="1" applyAlignment="1" applyProtection="1">
      <alignment horizontal="center" vertical="center" wrapText="1"/>
      <protection locked="0"/>
    </xf>
    <xf numFmtId="49" fontId="20" fillId="0" borderId="15" xfId="1" applyNumberFormat="1" applyFont="1" applyBorder="1" applyAlignment="1" applyProtection="1">
      <alignment horizontal="center" vertical="center" wrapText="1"/>
      <protection locked="0"/>
    </xf>
  </cellXfs>
  <cellStyles count="2">
    <cellStyle name="Hipervínculo" xfId="1" builtinId="8"/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0D1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0</xdr:colOff>
      <xdr:row>6</xdr:row>
      <xdr:rowOff>1</xdr:rowOff>
    </xdr:from>
    <xdr:to>
      <xdr:col>44</xdr:col>
      <xdr:colOff>133350</xdr:colOff>
      <xdr:row>6</xdr:row>
      <xdr:rowOff>247651</xdr:rowOff>
    </xdr:to>
    <xdr:sp macro="[0]!Macro1" textlink="">
      <xdr:nvSpPr>
        <xdr:cNvPr id="4" name="Rectangl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8296275" y="914401"/>
          <a:ext cx="533400" cy="247650"/>
        </a:xfrm>
        <a:prstGeom prst="rect">
          <a:avLst/>
        </a:prstGeom>
        <a:solidFill>
          <a:srgbClr val="C0C0C0"/>
        </a:solidFill>
        <a:ln w="9525">
          <a:solidFill>
            <a:srgbClr val="333333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CO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Aprobado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84</xdr:row>
          <xdr:rowOff>114300</xdr:rowOff>
        </xdr:from>
        <xdr:to>
          <xdr:col>4</xdr:col>
          <xdr:colOff>57150</xdr:colOff>
          <xdr:row>86</xdr:row>
          <xdr:rowOff>9525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85</xdr:row>
          <xdr:rowOff>123825</xdr:rowOff>
        </xdr:from>
        <xdr:to>
          <xdr:col>4</xdr:col>
          <xdr:colOff>57150</xdr:colOff>
          <xdr:row>87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86</xdr:row>
          <xdr:rowOff>133350</xdr:rowOff>
        </xdr:from>
        <xdr:to>
          <xdr:col>4</xdr:col>
          <xdr:colOff>57150</xdr:colOff>
          <xdr:row>88</xdr:row>
          <xdr:rowOff>28575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87</xdr:row>
          <xdr:rowOff>123825</xdr:rowOff>
        </xdr:from>
        <xdr:to>
          <xdr:col>4</xdr:col>
          <xdr:colOff>57150</xdr:colOff>
          <xdr:row>89</xdr:row>
          <xdr:rowOff>19050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88</xdr:row>
          <xdr:rowOff>123825</xdr:rowOff>
        </xdr:from>
        <xdr:to>
          <xdr:col>4</xdr:col>
          <xdr:colOff>57150</xdr:colOff>
          <xdr:row>90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89</xdr:row>
          <xdr:rowOff>123825</xdr:rowOff>
        </xdr:from>
        <xdr:to>
          <xdr:col>4</xdr:col>
          <xdr:colOff>57150</xdr:colOff>
          <xdr:row>91</xdr:row>
          <xdr:rowOff>19050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90</xdr:row>
          <xdr:rowOff>123825</xdr:rowOff>
        </xdr:from>
        <xdr:to>
          <xdr:col>4</xdr:col>
          <xdr:colOff>57150</xdr:colOff>
          <xdr:row>92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91</xdr:row>
          <xdr:rowOff>133350</xdr:rowOff>
        </xdr:from>
        <xdr:to>
          <xdr:col>4</xdr:col>
          <xdr:colOff>57150</xdr:colOff>
          <xdr:row>93</xdr:row>
          <xdr:rowOff>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92</xdr:row>
          <xdr:rowOff>161925</xdr:rowOff>
        </xdr:from>
        <xdr:to>
          <xdr:col>4</xdr:col>
          <xdr:colOff>57150</xdr:colOff>
          <xdr:row>94</xdr:row>
          <xdr:rowOff>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93</xdr:row>
          <xdr:rowOff>180975</xdr:rowOff>
        </xdr:from>
        <xdr:to>
          <xdr:col>4</xdr:col>
          <xdr:colOff>57150</xdr:colOff>
          <xdr:row>94</xdr:row>
          <xdr:rowOff>209550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94</xdr:row>
          <xdr:rowOff>276225</xdr:rowOff>
        </xdr:from>
        <xdr:to>
          <xdr:col>4</xdr:col>
          <xdr:colOff>57150</xdr:colOff>
          <xdr:row>96</xdr:row>
          <xdr:rowOff>19050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95</xdr:row>
          <xdr:rowOff>180975</xdr:rowOff>
        </xdr:from>
        <xdr:to>
          <xdr:col>4</xdr:col>
          <xdr:colOff>57150</xdr:colOff>
          <xdr:row>97</xdr:row>
          <xdr:rowOff>19050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97</xdr:row>
          <xdr:rowOff>0</xdr:rowOff>
        </xdr:from>
        <xdr:to>
          <xdr:col>4</xdr:col>
          <xdr:colOff>57150</xdr:colOff>
          <xdr:row>98</xdr:row>
          <xdr:rowOff>28575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0AC45-478C-46A0-8BD4-337BF3D5AD1E}">
  <sheetPr codeName="Hoja1">
    <pageSetUpPr autoPageBreaks="0"/>
  </sheetPr>
  <dimension ref="A1:BF443"/>
  <sheetViews>
    <sheetView showGridLines="0" showRowColHeaders="0" tabSelected="1" zoomScaleNormal="100" zoomScaleSheetLayoutView="100" workbookViewId="0">
      <selection activeCell="AY10" sqref="AY10"/>
    </sheetView>
  </sheetViews>
  <sheetFormatPr baseColWidth="10" defaultColWidth="11" defaultRowHeight="12.75" x14ac:dyDescent="0.2"/>
  <cols>
    <col min="1" max="1" width="3.25" style="8" customWidth="1"/>
    <col min="2" max="2" width="1.875" style="8" customWidth="1"/>
    <col min="3" max="3" width="1.25" style="8" customWidth="1"/>
    <col min="4" max="4" width="3.875" style="8" customWidth="1"/>
    <col min="5" max="5" width="1.75" style="8" customWidth="1"/>
    <col min="6" max="6" width="6.25" style="8" customWidth="1"/>
    <col min="7" max="7" width="2.25" style="8" customWidth="1"/>
    <col min="8" max="8" width="2.5" style="8" customWidth="1"/>
    <col min="9" max="9" width="2.5" style="11" customWidth="1"/>
    <col min="10" max="10" width="2.5" style="8" customWidth="1"/>
    <col min="11" max="11" width="3.625" style="8" customWidth="1"/>
    <col min="12" max="14" width="2.5" style="8" customWidth="1"/>
    <col min="15" max="15" width="3.5" style="8" hidden="1" customWidth="1"/>
    <col min="16" max="16" width="2.125" style="8" hidden="1" customWidth="1"/>
    <col min="17" max="17" width="2.5" style="8" hidden="1" customWidth="1"/>
    <col min="18" max="20" width="2.625" style="8" customWidth="1"/>
    <col min="21" max="21" width="3.625" style="8" customWidth="1"/>
    <col min="22" max="22" width="2.75" style="8" customWidth="1"/>
    <col min="23" max="23" width="2.875" style="8" customWidth="1"/>
    <col min="24" max="28" width="2.5" style="8" customWidth="1"/>
    <col min="29" max="29" width="2.875" style="8" customWidth="1"/>
    <col min="30" max="32" width="2.625" style="8" customWidth="1"/>
    <col min="33" max="38" width="2.5" style="8" customWidth="1"/>
    <col min="39" max="39" width="3" style="8" customWidth="1"/>
    <col min="40" max="40" width="3.125" style="8" customWidth="1"/>
    <col min="41" max="41" width="1.125" style="8" customWidth="1"/>
    <col min="42" max="42" width="2.5" style="8" customWidth="1"/>
    <col min="43" max="43" width="3" style="8" customWidth="1"/>
    <col min="44" max="44" width="2.25" style="8" customWidth="1"/>
    <col min="45" max="45" width="2" style="8" customWidth="1"/>
    <col min="46" max="46" width="0.5" style="8" customWidth="1"/>
    <col min="47" max="47" width="1.125" style="8" customWidth="1"/>
    <col min="48" max="50" width="2.5" style="8" customWidth="1"/>
    <col min="51" max="53" width="4.875" style="8" customWidth="1"/>
    <col min="54" max="62" width="2.5" style="8" customWidth="1"/>
    <col min="63" max="16384" width="11" style="8"/>
  </cols>
  <sheetData>
    <row r="1" spans="1:54" ht="16.5" customHeight="1" thickBot="1" x14ac:dyDescent="0.25">
      <c r="A1" s="13"/>
      <c r="BA1" s="15"/>
      <c r="BB1" s="15"/>
    </row>
    <row r="2" spans="1:54" s="5" customFormat="1" ht="9" customHeight="1" x14ac:dyDescent="0.2">
      <c r="A2" s="13"/>
      <c r="C2" s="1"/>
      <c r="D2" s="2"/>
      <c r="E2" s="2"/>
      <c r="F2" s="2"/>
      <c r="G2" s="2"/>
      <c r="H2" s="2"/>
      <c r="I2" s="3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4"/>
      <c r="BA2" s="16"/>
      <c r="BB2" s="17" t="s">
        <v>0</v>
      </c>
    </row>
    <row r="3" spans="1:54" s="5" customFormat="1" ht="12.75" customHeight="1" x14ac:dyDescent="0.2">
      <c r="A3" s="14"/>
      <c r="C3" s="6"/>
      <c r="D3" s="138" t="s">
        <v>73</v>
      </c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21"/>
      <c r="W3" s="21"/>
      <c r="X3" s="21"/>
      <c r="Y3" s="21"/>
      <c r="Z3" s="21"/>
      <c r="AA3" s="21"/>
      <c r="AB3" s="21"/>
      <c r="AC3" s="21"/>
      <c r="AD3" s="21"/>
      <c r="AE3" s="21"/>
      <c r="AF3" s="150"/>
      <c r="AG3" s="150"/>
      <c r="AH3" s="150"/>
      <c r="AI3" s="150"/>
      <c r="AJ3" s="150"/>
      <c r="AK3" s="21"/>
      <c r="AL3" s="27"/>
      <c r="AM3" s="27"/>
      <c r="AN3" s="27"/>
      <c r="AO3" s="27"/>
      <c r="AP3" s="168" t="s">
        <v>1</v>
      </c>
      <c r="AQ3" s="169"/>
      <c r="AR3" s="169"/>
      <c r="AS3" s="170"/>
      <c r="AT3" s="21"/>
      <c r="AU3" s="22"/>
      <c r="AV3" s="21"/>
      <c r="BA3" s="16"/>
      <c r="BB3" s="17"/>
    </row>
    <row r="4" spans="1:54" s="5" customFormat="1" ht="13.5" x14ac:dyDescent="0.2">
      <c r="A4" s="14"/>
      <c r="C4" s="6"/>
      <c r="D4" s="27"/>
      <c r="E4" s="27"/>
      <c r="F4" s="27"/>
      <c r="G4" s="27"/>
      <c r="H4" s="27"/>
      <c r="I4" s="27"/>
      <c r="J4" s="27"/>
      <c r="K4" s="27"/>
      <c r="L4" s="27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159"/>
      <c r="AG4" s="159"/>
      <c r="AH4" s="159"/>
      <c r="AI4" s="159"/>
      <c r="AJ4" s="159"/>
      <c r="AK4" s="23"/>
      <c r="AL4" s="23"/>
      <c r="AM4" s="23"/>
      <c r="AN4" s="23"/>
      <c r="AO4" s="23"/>
      <c r="AP4" s="165"/>
      <c r="AQ4" s="166"/>
      <c r="AR4" s="166"/>
      <c r="AS4" s="167"/>
      <c r="AT4" s="21"/>
      <c r="AU4" s="22"/>
      <c r="AV4" s="21"/>
      <c r="BA4" s="16"/>
      <c r="BB4" s="16"/>
    </row>
    <row r="5" spans="1:54" s="5" customFormat="1" ht="1.5" customHeight="1" x14ac:dyDescent="0.2">
      <c r="A5" s="14"/>
      <c r="C5" s="6"/>
      <c r="D5" s="27"/>
      <c r="E5" s="27"/>
      <c r="F5" s="27"/>
      <c r="G5" s="27"/>
      <c r="H5" s="27"/>
      <c r="I5" s="27"/>
      <c r="J5" s="27"/>
      <c r="K5" s="27"/>
      <c r="L5" s="27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5"/>
      <c r="AQ5" s="25"/>
      <c r="AR5" s="25"/>
      <c r="AS5" s="25"/>
      <c r="AT5" s="21"/>
      <c r="AU5" s="22"/>
      <c r="AV5" s="21"/>
      <c r="BA5" s="16"/>
      <c r="BB5" s="16"/>
    </row>
    <row r="6" spans="1:54" s="5" customFormat="1" ht="18" customHeight="1" x14ac:dyDescent="0.2">
      <c r="A6" s="14"/>
      <c r="C6" s="6"/>
      <c r="D6" s="160" t="s">
        <v>67</v>
      </c>
      <c r="E6" s="160"/>
      <c r="F6" s="160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21"/>
      <c r="X6" s="162" t="s">
        <v>69</v>
      </c>
      <c r="Y6" s="162"/>
      <c r="Z6" s="162"/>
      <c r="AA6" s="162"/>
      <c r="AB6" s="162"/>
      <c r="AC6" s="162"/>
      <c r="AD6" s="163"/>
      <c r="AE6" s="163"/>
      <c r="AF6" s="163"/>
      <c r="AG6" s="163"/>
      <c r="AH6" s="163"/>
      <c r="AI6" s="163"/>
      <c r="AJ6" s="163"/>
      <c r="AK6" s="163"/>
      <c r="AL6" s="163"/>
      <c r="AM6" s="163"/>
      <c r="AN6" s="163"/>
      <c r="AO6" s="21"/>
      <c r="AP6" s="21"/>
      <c r="AQ6" s="21"/>
      <c r="AR6" s="21"/>
      <c r="AS6" s="21"/>
      <c r="AT6" s="21"/>
      <c r="AU6" s="22"/>
      <c r="AV6" s="21"/>
    </row>
    <row r="7" spans="1:54" s="5" customFormat="1" ht="24" customHeight="1" x14ac:dyDescent="0.2">
      <c r="A7" s="14"/>
      <c r="C7" s="6"/>
      <c r="D7" s="160" t="s">
        <v>68</v>
      </c>
      <c r="E7" s="160"/>
      <c r="F7" s="160"/>
      <c r="G7" s="131"/>
      <c r="H7" s="131"/>
      <c r="I7" s="131"/>
      <c r="J7" s="131"/>
      <c r="K7" s="131"/>
      <c r="L7" s="131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23"/>
      <c r="X7" s="162"/>
      <c r="Y7" s="162"/>
      <c r="Z7" s="162"/>
      <c r="AA7" s="162"/>
      <c r="AB7" s="162"/>
      <c r="AC7" s="162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21"/>
      <c r="AP7" s="21"/>
      <c r="AQ7" s="21"/>
      <c r="AR7" s="21"/>
      <c r="AS7" s="21"/>
      <c r="AT7" s="21"/>
      <c r="AU7" s="22"/>
      <c r="AV7" s="21"/>
    </row>
    <row r="8" spans="1:54" s="5" customFormat="1" ht="4.5" customHeight="1" x14ac:dyDescent="0.2">
      <c r="C8" s="6"/>
      <c r="D8" s="26"/>
      <c r="E8" s="26"/>
      <c r="F8" s="26"/>
      <c r="G8" s="26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1"/>
      <c r="W8" s="21"/>
      <c r="X8" s="28"/>
      <c r="Y8" s="28"/>
      <c r="Z8" s="28"/>
      <c r="AA8" s="28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1"/>
      <c r="AU8" s="22"/>
      <c r="AV8" s="21"/>
    </row>
    <row r="9" spans="1:54" s="5" customFormat="1" ht="4.5" customHeight="1" x14ac:dyDescent="0.2">
      <c r="C9" s="6"/>
      <c r="D9" s="26"/>
      <c r="E9" s="26"/>
      <c r="F9" s="26"/>
      <c r="G9" s="26"/>
      <c r="H9" s="26"/>
      <c r="I9" s="26"/>
      <c r="J9" s="26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2"/>
      <c r="AV9" s="21"/>
    </row>
    <row r="10" spans="1:54" s="5" customFormat="1" ht="12.75" customHeight="1" x14ac:dyDescent="0.2">
      <c r="C10" s="6"/>
      <c r="D10" s="29"/>
      <c r="E10" s="30"/>
      <c r="F10" s="30"/>
      <c r="G10" s="30"/>
      <c r="H10" s="30"/>
      <c r="I10" s="30"/>
      <c r="J10" s="30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3"/>
      <c r="AT10" s="21"/>
      <c r="AU10" s="22"/>
      <c r="AV10" s="21"/>
    </row>
    <row r="11" spans="1:54" s="5" customFormat="1" ht="14.25" customHeight="1" x14ac:dyDescent="0.2">
      <c r="C11" s="6"/>
      <c r="D11" s="161" t="s">
        <v>3</v>
      </c>
      <c r="E11" s="149"/>
      <c r="F11" s="149"/>
      <c r="G11" s="149"/>
      <c r="H11" s="149"/>
      <c r="I11" s="149"/>
      <c r="J11" s="149"/>
      <c r="K11" s="149"/>
      <c r="L11" s="149"/>
      <c r="M11" s="149"/>
      <c r="N11" s="21"/>
      <c r="O11" s="21"/>
      <c r="P11" s="21"/>
      <c r="Q11" s="34"/>
      <c r="R11" s="144" t="s">
        <v>4</v>
      </c>
      <c r="S11" s="145"/>
      <c r="T11" s="146"/>
      <c r="U11" s="37"/>
      <c r="V11" s="144" t="s">
        <v>5</v>
      </c>
      <c r="W11" s="145"/>
      <c r="X11" s="146"/>
      <c r="Y11" s="27"/>
      <c r="Z11" s="144" t="s">
        <v>6</v>
      </c>
      <c r="AA11" s="145"/>
      <c r="AB11" s="146"/>
      <c r="AC11" s="27"/>
      <c r="AD11" s="144" t="s">
        <v>7</v>
      </c>
      <c r="AE11" s="145"/>
      <c r="AF11" s="146"/>
      <c r="AG11" s="27"/>
      <c r="AH11" s="144" t="s">
        <v>8</v>
      </c>
      <c r="AI11" s="145"/>
      <c r="AJ11" s="146"/>
      <c r="AK11" s="21"/>
      <c r="AL11" s="144" t="s">
        <v>9</v>
      </c>
      <c r="AM11" s="145"/>
      <c r="AN11" s="146"/>
      <c r="AO11" s="21"/>
      <c r="AP11" s="144" t="s">
        <v>10</v>
      </c>
      <c r="AQ11" s="145"/>
      <c r="AR11" s="146"/>
      <c r="AS11" s="36"/>
      <c r="AT11" s="21"/>
      <c r="AU11" s="22"/>
      <c r="AV11" s="21"/>
    </row>
    <row r="12" spans="1:54" s="5" customFormat="1" ht="13.5" x14ac:dyDescent="0.2">
      <c r="C12" s="6"/>
      <c r="D12" s="161"/>
      <c r="E12" s="149"/>
      <c r="F12" s="149"/>
      <c r="G12" s="149"/>
      <c r="H12" s="149"/>
      <c r="I12" s="149"/>
      <c r="J12" s="149"/>
      <c r="K12" s="149"/>
      <c r="L12" s="149"/>
      <c r="M12" s="149"/>
      <c r="N12" s="21"/>
      <c r="O12" s="21"/>
      <c r="P12" s="21"/>
      <c r="Q12" s="34"/>
      <c r="R12" s="155">
        <f>$AQ$38+$AQ$19+R53+R79</f>
        <v>0</v>
      </c>
      <c r="S12" s="156"/>
      <c r="T12" s="157"/>
      <c r="U12" s="37"/>
      <c r="V12" s="155">
        <f>$AQ$38+$AQ$19+V53+V79</f>
        <v>0</v>
      </c>
      <c r="W12" s="156"/>
      <c r="X12" s="157"/>
      <c r="Y12" s="21"/>
      <c r="Z12" s="155">
        <f>$AQ$38+$AQ$19+Z53+Z79</f>
        <v>0</v>
      </c>
      <c r="AA12" s="156"/>
      <c r="AB12" s="157"/>
      <c r="AC12" s="21"/>
      <c r="AD12" s="155">
        <f>$AQ$38+$AQ$19+AD53+AD79</f>
        <v>0</v>
      </c>
      <c r="AE12" s="156"/>
      <c r="AF12" s="157"/>
      <c r="AG12" s="21"/>
      <c r="AH12" s="155">
        <f>$AQ$38+$AQ$19+AH53+AH79</f>
        <v>0</v>
      </c>
      <c r="AI12" s="156"/>
      <c r="AJ12" s="157"/>
      <c r="AK12" s="21"/>
      <c r="AL12" s="155">
        <f>$AQ$38+$AQ$19+AL53+AL79</f>
        <v>0</v>
      </c>
      <c r="AM12" s="156"/>
      <c r="AN12" s="157"/>
      <c r="AO12" s="21"/>
      <c r="AP12" s="155">
        <f>$AQ$38+$AQ$19+AP53+AP79</f>
        <v>0</v>
      </c>
      <c r="AQ12" s="156"/>
      <c r="AR12" s="157"/>
      <c r="AS12" s="36"/>
      <c r="AT12" s="21"/>
      <c r="AU12" s="22"/>
      <c r="AV12" s="21"/>
    </row>
    <row r="13" spans="1:54" ht="4.5" customHeight="1" x14ac:dyDescent="0.2">
      <c r="C13" s="7"/>
      <c r="D13" s="38"/>
      <c r="E13" s="39"/>
      <c r="F13" s="64"/>
      <c r="G13" s="64"/>
      <c r="H13" s="64"/>
      <c r="I13" s="64"/>
      <c r="J13" s="64"/>
      <c r="K13" s="64"/>
      <c r="L13" s="64"/>
      <c r="M13" s="39"/>
      <c r="N13" s="39"/>
      <c r="O13" s="39"/>
      <c r="P13" s="39"/>
      <c r="Q13" s="39"/>
      <c r="R13" s="65"/>
      <c r="S13" s="66"/>
      <c r="T13" s="66"/>
      <c r="U13" s="39"/>
      <c r="V13" s="65"/>
      <c r="W13" s="66"/>
      <c r="X13" s="66"/>
      <c r="Y13" s="39"/>
      <c r="Z13" s="65"/>
      <c r="AA13" s="66"/>
      <c r="AB13" s="66"/>
      <c r="AC13" s="39"/>
      <c r="AD13" s="65"/>
      <c r="AE13" s="66"/>
      <c r="AF13" s="66"/>
      <c r="AG13" s="39"/>
      <c r="AH13" s="65"/>
      <c r="AI13" s="66"/>
      <c r="AJ13" s="66"/>
      <c r="AK13" s="39"/>
      <c r="AL13" s="65"/>
      <c r="AM13" s="66"/>
      <c r="AN13" s="66"/>
      <c r="AO13" s="39"/>
      <c r="AP13" s="65"/>
      <c r="AQ13" s="66"/>
      <c r="AR13" s="66"/>
      <c r="AS13" s="40"/>
      <c r="AT13" s="39"/>
      <c r="AU13" s="41"/>
      <c r="AV13" s="39"/>
    </row>
    <row r="14" spans="1:54" s="18" customFormat="1" ht="12" customHeight="1" x14ac:dyDescent="0.2">
      <c r="C14" s="19"/>
      <c r="D14" s="38"/>
      <c r="E14" s="39"/>
      <c r="F14" s="67"/>
      <c r="G14" s="64"/>
      <c r="H14" s="153" t="s">
        <v>11</v>
      </c>
      <c r="I14" s="153"/>
      <c r="J14" s="153"/>
      <c r="K14" s="153"/>
      <c r="L14" s="153"/>
      <c r="M14" s="153"/>
      <c r="N14" s="153"/>
      <c r="O14" s="39"/>
      <c r="P14" s="39"/>
      <c r="Q14" s="39"/>
      <c r="R14" s="65"/>
      <c r="S14" s="66"/>
      <c r="T14" s="154"/>
      <c r="U14" s="154"/>
      <c r="V14" s="65"/>
      <c r="W14" s="151" t="s">
        <v>12</v>
      </c>
      <c r="X14" s="151"/>
      <c r="Y14" s="151"/>
      <c r="Z14" s="151"/>
      <c r="AA14" s="151"/>
      <c r="AB14" s="151"/>
      <c r="AC14" s="151"/>
      <c r="AD14" s="151"/>
      <c r="AE14" s="151"/>
      <c r="AF14" s="66"/>
      <c r="AG14" s="152"/>
      <c r="AH14" s="152"/>
      <c r="AI14" s="66"/>
      <c r="AJ14" s="153" t="s">
        <v>13</v>
      </c>
      <c r="AK14" s="153"/>
      <c r="AL14" s="153"/>
      <c r="AM14" s="153"/>
      <c r="AN14" s="153"/>
      <c r="AO14" s="153"/>
      <c r="AP14" s="153"/>
      <c r="AQ14" s="153"/>
      <c r="AR14" s="153"/>
      <c r="AS14" s="40"/>
      <c r="AT14" s="39"/>
      <c r="AU14" s="41"/>
      <c r="AV14" s="39"/>
    </row>
    <row r="15" spans="1:54" ht="4.5" customHeight="1" x14ac:dyDescent="0.2">
      <c r="C15" s="7"/>
      <c r="D15" s="43"/>
      <c r="E15" s="44"/>
      <c r="F15" s="68"/>
      <c r="G15" s="68"/>
      <c r="H15" s="68"/>
      <c r="I15" s="68"/>
      <c r="J15" s="68"/>
      <c r="K15" s="68"/>
      <c r="L15" s="68"/>
      <c r="M15" s="44"/>
      <c r="N15" s="44"/>
      <c r="O15" s="44"/>
      <c r="P15" s="44"/>
      <c r="Q15" s="44"/>
      <c r="R15" s="69"/>
      <c r="S15" s="70"/>
      <c r="T15" s="70"/>
      <c r="U15" s="44"/>
      <c r="V15" s="69"/>
      <c r="W15" s="70"/>
      <c r="X15" s="70"/>
      <c r="Y15" s="44"/>
      <c r="Z15" s="69"/>
      <c r="AA15" s="70"/>
      <c r="AB15" s="70"/>
      <c r="AC15" s="44"/>
      <c r="AD15" s="69"/>
      <c r="AE15" s="70"/>
      <c r="AF15" s="70"/>
      <c r="AG15" s="44"/>
      <c r="AH15" s="69"/>
      <c r="AI15" s="70"/>
      <c r="AJ15" s="70"/>
      <c r="AK15" s="44"/>
      <c r="AL15" s="69"/>
      <c r="AM15" s="70"/>
      <c r="AN15" s="70"/>
      <c r="AO15" s="44"/>
      <c r="AP15" s="69"/>
      <c r="AQ15" s="70"/>
      <c r="AR15" s="70"/>
      <c r="AS15" s="45"/>
      <c r="AT15" s="39"/>
      <c r="AU15" s="41"/>
      <c r="AV15" s="39"/>
    </row>
    <row r="16" spans="1:54" s="5" customFormat="1" ht="6" customHeight="1" x14ac:dyDescent="0.2">
      <c r="C16" s="6"/>
      <c r="D16" s="27"/>
      <c r="E16" s="21"/>
      <c r="F16" s="27"/>
      <c r="G16" s="27"/>
      <c r="H16" s="27"/>
      <c r="I16" s="27"/>
      <c r="J16" s="27"/>
      <c r="K16" s="27"/>
      <c r="L16" s="27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2"/>
      <c r="AV16" s="21"/>
    </row>
    <row r="17" spans="3:48" s="5" customFormat="1" ht="3.75" customHeight="1" x14ac:dyDescent="0.2">
      <c r="C17" s="6"/>
      <c r="D17" s="71"/>
      <c r="E17" s="46"/>
      <c r="F17" s="72"/>
      <c r="G17" s="72"/>
      <c r="H17" s="72"/>
      <c r="I17" s="72"/>
      <c r="J17" s="72"/>
      <c r="K17" s="72"/>
      <c r="L17" s="72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73"/>
      <c r="AI17" s="46"/>
      <c r="AJ17" s="46"/>
      <c r="AK17" s="74"/>
      <c r="AL17" s="46"/>
      <c r="AM17" s="46"/>
      <c r="AN17" s="46"/>
      <c r="AO17" s="74"/>
      <c r="AP17" s="46"/>
      <c r="AQ17" s="46"/>
      <c r="AR17" s="46"/>
      <c r="AS17" s="46"/>
      <c r="AT17" s="47"/>
      <c r="AU17" s="22"/>
      <c r="AV17" s="21"/>
    </row>
    <row r="18" spans="3:48" s="5" customFormat="1" ht="3" customHeight="1" x14ac:dyDescent="0.2">
      <c r="C18" s="6"/>
      <c r="D18" s="75"/>
      <c r="E18" s="21"/>
      <c r="F18" s="27"/>
      <c r="G18" s="27"/>
      <c r="H18" s="27"/>
      <c r="I18" s="27"/>
      <c r="J18" s="27"/>
      <c r="K18" s="27"/>
      <c r="L18" s="27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76"/>
      <c r="AI18" s="21"/>
      <c r="AJ18" s="21"/>
      <c r="AK18" s="77"/>
      <c r="AL18" s="21"/>
      <c r="AM18" s="21"/>
      <c r="AN18" s="21"/>
      <c r="AO18" s="77"/>
      <c r="AP18" s="21"/>
      <c r="AQ18" s="21"/>
      <c r="AR18" s="21"/>
      <c r="AS18" s="21"/>
      <c r="AT18" s="34"/>
      <c r="AU18" s="22"/>
      <c r="AV18" s="21"/>
    </row>
    <row r="19" spans="3:48" ht="13.5" x14ac:dyDescent="0.2">
      <c r="C19" s="7"/>
      <c r="D19" s="137" t="s">
        <v>65</v>
      </c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27"/>
      <c r="W19" s="27"/>
      <c r="X19" s="27"/>
      <c r="Y19" s="27"/>
      <c r="Z19" s="27"/>
      <c r="AA19" s="21"/>
      <c r="AB19" s="21"/>
      <c r="AC19" s="21"/>
      <c r="AD19" s="21"/>
      <c r="AE19" s="21"/>
      <c r="AF19" s="21"/>
      <c r="AG19" s="39"/>
      <c r="AH19" s="39"/>
      <c r="AI19" s="39"/>
      <c r="AJ19" s="39"/>
      <c r="AK19" s="39"/>
      <c r="AL19" s="149" t="s">
        <v>14</v>
      </c>
      <c r="AM19" s="149"/>
      <c r="AN19" s="149"/>
      <c r="AO19" s="149"/>
      <c r="AP19" s="149"/>
      <c r="AQ19" s="155">
        <f>IF(AP21="X",10,IF(AE21="X",7,IF(U21="X",5,IF(H21="X",3,0))))</f>
        <v>0</v>
      </c>
      <c r="AR19" s="156"/>
      <c r="AS19" s="157"/>
      <c r="AT19" s="48"/>
      <c r="AU19" s="41"/>
      <c r="AV19" s="39"/>
    </row>
    <row r="20" spans="3:48" ht="9" customHeight="1" x14ac:dyDescent="0.2">
      <c r="C20" s="7"/>
      <c r="D20" s="75"/>
      <c r="E20" s="150"/>
      <c r="F20" s="150"/>
      <c r="G20" s="150"/>
      <c r="H20" s="150"/>
      <c r="I20" s="150"/>
      <c r="J20" s="150"/>
      <c r="K20" s="150"/>
      <c r="L20" s="150"/>
      <c r="M20" s="150"/>
      <c r="N20" s="150"/>
      <c r="O20" s="150"/>
      <c r="P20" s="150"/>
      <c r="Q20" s="150"/>
      <c r="R20" s="27"/>
      <c r="S20" s="27"/>
      <c r="T20" s="27"/>
      <c r="U20" s="150"/>
      <c r="V20" s="150"/>
      <c r="W20" s="150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150"/>
      <c r="AK20" s="21"/>
      <c r="AL20" s="21"/>
      <c r="AM20" s="21"/>
      <c r="AN20" s="21"/>
      <c r="AO20" s="21"/>
      <c r="AP20" s="21"/>
      <c r="AQ20" s="21"/>
      <c r="AR20" s="21"/>
      <c r="AS20" s="21"/>
      <c r="AT20" s="48"/>
      <c r="AU20" s="41"/>
      <c r="AV20" s="39"/>
    </row>
    <row r="21" spans="3:48" ht="26.25" customHeight="1" x14ac:dyDescent="0.2">
      <c r="C21" s="7"/>
      <c r="D21" s="147" t="s">
        <v>70</v>
      </c>
      <c r="E21" s="148"/>
      <c r="F21" s="148"/>
      <c r="G21" s="39"/>
      <c r="H21" s="78"/>
      <c r="I21" s="76"/>
      <c r="J21" s="76"/>
      <c r="K21" s="39"/>
      <c r="L21" s="148" t="s">
        <v>15</v>
      </c>
      <c r="M21" s="148"/>
      <c r="N21" s="148"/>
      <c r="O21" s="148"/>
      <c r="P21" s="148"/>
      <c r="Q21" s="148"/>
      <c r="R21" s="148"/>
      <c r="S21" s="148"/>
      <c r="T21" s="39"/>
      <c r="U21" s="78"/>
      <c r="V21" s="39"/>
      <c r="W21" s="39"/>
      <c r="X21" s="158" t="s">
        <v>16</v>
      </c>
      <c r="Y21" s="158"/>
      <c r="Z21" s="158"/>
      <c r="AA21" s="158"/>
      <c r="AB21" s="158"/>
      <c r="AC21" s="158"/>
      <c r="AD21" s="39"/>
      <c r="AE21" s="78"/>
      <c r="AF21" s="39"/>
      <c r="AG21" s="76"/>
      <c r="AH21" s="76"/>
      <c r="AI21" s="150" t="s">
        <v>17</v>
      </c>
      <c r="AJ21" s="150"/>
      <c r="AK21" s="150"/>
      <c r="AL21" s="150"/>
      <c r="AM21" s="150"/>
      <c r="AN21" s="150"/>
      <c r="AO21" s="79"/>
      <c r="AP21" s="78"/>
      <c r="AQ21" s="49"/>
      <c r="AR21" s="39"/>
      <c r="AS21" s="21"/>
      <c r="AT21" s="48"/>
      <c r="AU21" s="41"/>
      <c r="AV21" s="39"/>
    </row>
    <row r="22" spans="3:48" ht="7.5" customHeight="1" x14ac:dyDescent="0.2">
      <c r="C22" s="7"/>
      <c r="D22" s="75"/>
      <c r="E22" s="76"/>
      <c r="F22" s="76"/>
      <c r="G22" s="39"/>
      <c r="H22" s="76"/>
      <c r="I22" s="76"/>
      <c r="J22" s="76"/>
      <c r="K22" s="76"/>
      <c r="L22" s="27"/>
      <c r="M22" s="27"/>
      <c r="N22" s="27"/>
      <c r="O22" s="27"/>
      <c r="P22" s="39"/>
      <c r="Q22" s="76"/>
      <c r="R22" s="39"/>
      <c r="S22" s="39"/>
      <c r="T22" s="39"/>
      <c r="U22" s="76"/>
      <c r="V22" s="39"/>
      <c r="W22" s="27"/>
      <c r="X22" s="27"/>
      <c r="Y22" s="27"/>
      <c r="Z22" s="27"/>
      <c r="AA22" s="39"/>
      <c r="AB22" s="76"/>
      <c r="AC22" s="76"/>
      <c r="AD22" s="39"/>
      <c r="AE22" s="39"/>
      <c r="AF22" s="39"/>
      <c r="AG22" s="76"/>
      <c r="AH22" s="76"/>
      <c r="AI22" s="27"/>
      <c r="AJ22" s="39"/>
      <c r="AK22" s="21"/>
      <c r="AL22" s="21"/>
      <c r="AM22" s="49"/>
      <c r="AN22" s="76"/>
      <c r="AO22" s="21"/>
      <c r="AP22" s="21"/>
      <c r="AQ22" s="49"/>
      <c r="AR22" s="76"/>
      <c r="AS22" s="21"/>
      <c r="AT22" s="48"/>
      <c r="AU22" s="41"/>
      <c r="AV22" s="39"/>
    </row>
    <row r="23" spans="3:48" ht="15" customHeight="1" x14ac:dyDescent="0.2">
      <c r="C23" s="7"/>
      <c r="D23" s="75"/>
      <c r="E23" s="149" t="s">
        <v>18</v>
      </c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27"/>
      <c r="AA23" s="149" t="s">
        <v>19</v>
      </c>
      <c r="AB23" s="149"/>
      <c r="AC23" s="149"/>
      <c r="AD23" s="149"/>
      <c r="AE23" s="149"/>
      <c r="AF23" s="149"/>
      <c r="AG23" s="149"/>
      <c r="AH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49"/>
      <c r="AS23" s="27"/>
      <c r="AT23" s="48"/>
      <c r="AU23" s="41"/>
      <c r="AV23" s="39"/>
    </row>
    <row r="24" spans="3:48" ht="14.25" customHeight="1" x14ac:dyDescent="0.2">
      <c r="C24" s="7"/>
      <c r="D24" s="80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8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81"/>
      <c r="AT24" s="48"/>
      <c r="AU24" s="41"/>
      <c r="AV24" s="39"/>
    </row>
    <row r="25" spans="3:48" ht="13.5" x14ac:dyDescent="0.2">
      <c r="C25" s="7"/>
      <c r="D25" s="80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8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81"/>
      <c r="AT25" s="48"/>
      <c r="AU25" s="41"/>
      <c r="AV25" s="39"/>
    </row>
    <row r="26" spans="3:48" ht="13.5" x14ac:dyDescent="0.2">
      <c r="C26" s="7"/>
      <c r="D26" s="80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8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1"/>
      <c r="AP26" s="131"/>
      <c r="AQ26" s="131"/>
      <c r="AR26" s="131"/>
      <c r="AS26" s="81"/>
      <c r="AT26" s="48"/>
      <c r="AU26" s="41"/>
      <c r="AV26" s="39"/>
    </row>
    <row r="27" spans="3:48" ht="13.5" x14ac:dyDescent="0.2">
      <c r="C27" s="7"/>
      <c r="D27" s="80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8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1"/>
      <c r="AS27" s="81"/>
      <c r="AT27" s="48"/>
      <c r="AU27" s="41"/>
      <c r="AV27" s="39"/>
    </row>
    <row r="28" spans="3:48" ht="13.5" x14ac:dyDescent="0.2">
      <c r="C28" s="7"/>
      <c r="D28" s="80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8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1"/>
      <c r="AK28" s="131"/>
      <c r="AL28" s="131"/>
      <c r="AM28" s="131"/>
      <c r="AN28" s="131"/>
      <c r="AO28" s="131"/>
      <c r="AP28" s="131"/>
      <c r="AQ28" s="131"/>
      <c r="AR28" s="131"/>
      <c r="AS28" s="81"/>
      <c r="AT28" s="48"/>
      <c r="AU28" s="41"/>
      <c r="AV28" s="39"/>
    </row>
    <row r="29" spans="3:48" ht="13.5" x14ac:dyDescent="0.2">
      <c r="C29" s="7"/>
      <c r="D29" s="80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81"/>
      <c r="AA29" s="131"/>
      <c r="AB29" s="131"/>
      <c r="AC29" s="131"/>
      <c r="AD29" s="131"/>
      <c r="AE29" s="131"/>
      <c r="AF29" s="131"/>
      <c r="AG29" s="131"/>
      <c r="AH29" s="131"/>
      <c r="AI29" s="131"/>
      <c r="AJ29" s="131"/>
      <c r="AK29" s="131"/>
      <c r="AL29" s="131"/>
      <c r="AM29" s="131"/>
      <c r="AN29" s="131"/>
      <c r="AO29" s="131"/>
      <c r="AP29" s="131"/>
      <c r="AQ29" s="131"/>
      <c r="AR29" s="131"/>
      <c r="AS29" s="81"/>
      <c r="AT29" s="48"/>
      <c r="AU29" s="41"/>
      <c r="AV29" s="39"/>
    </row>
    <row r="30" spans="3:48" ht="13.5" x14ac:dyDescent="0.2">
      <c r="C30" s="7"/>
      <c r="D30" s="80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81"/>
      <c r="AA30" s="131"/>
      <c r="AB30" s="131"/>
      <c r="AC30" s="131"/>
      <c r="AD30" s="131"/>
      <c r="AE30" s="131"/>
      <c r="AF30" s="131"/>
      <c r="AG30" s="131"/>
      <c r="AH30" s="131"/>
      <c r="AI30" s="131"/>
      <c r="AJ30" s="131"/>
      <c r="AK30" s="131"/>
      <c r="AL30" s="131"/>
      <c r="AM30" s="131"/>
      <c r="AN30" s="131"/>
      <c r="AO30" s="131"/>
      <c r="AP30" s="131"/>
      <c r="AQ30" s="131"/>
      <c r="AR30" s="131"/>
      <c r="AS30" s="81"/>
      <c r="AT30" s="48"/>
      <c r="AU30" s="41"/>
      <c r="AV30" s="39"/>
    </row>
    <row r="31" spans="3:48" ht="13.5" x14ac:dyDescent="0.2">
      <c r="C31" s="7"/>
      <c r="D31" s="80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8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1"/>
      <c r="AP31" s="131"/>
      <c r="AQ31" s="131"/>
      <c r="AR31" s="131"/>
      <c r="AS31" s="81"/>
      <c r="AT31" s="48"/>
      <c r="AU31" s="41"/>
      <c r="AV31" s="39"/>
    </row>
    <row r="32" spans="3:48" ht="13.5" x14ac:dyDescent="0.2">
      <c r="C32" s="7"/>
      <c r="D32" s="80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81"/>
      <c r="AA32" s="131"/>
      <c r="AB32" s="131"/>
      <c r="AC32" s="131"/>
      <c r="AD32" s="131"/>
      <c r="AE32" s="131"/>
      <c r="AF32" s="131"/>
      <c r="AG32" s="131"/>
      <c r="AH32" s="131"/>
      <c r="AI32" s="131"/>
      <c r="AJ32" s="131"/>
      <c r="AK32" s="131"/>
      <c r="AL32" s="131"/>
      <c r="AM32" s="131"/>
      <c r="AN32" s="131"/>
      <c r="AO32" s="131"/>
      <c r="AP32" s="131"/>
      <c r="AQ32" s="131"/>
      <c r="AR32" s="131"/>
      <c r="AS32" s="81"/>
      <c r="AT32" s="48"/>
      <c r="AU32" s="41"/>
      <c r="AV32" s="39"/>
    </row>
    <row r="33" spans="3:48" ht="13.5" x14ac:dyDescent="0.2">
      <c r="C33" s="7"/>
      <c r="D33" s="80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8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81"/>
      <c r="AT33" s="48"/>
      <c r="AU33" s="41"/>
      <c r="AV33" s="39"/>
    </row>
    <row r="34" spans="3:48" ht="13.5" x14ac:dyDescent="0.2">
      <c r="C34" s="7"/>
      <c r="D34" s="80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8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81"/>
      <c r="AT34" s="48"/>
      <c r="AU34" s="41"/>
      <c r="AV34" s="39"/>
    </row>
    <row r="35" spans="3:48" ht="6" customHeight="1" x14ac:dyDescent="0.2">
      <c r="C35" s="7"/>
      <c r="D35" s="82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4"/>
      <c r="W35" s="84"/>
      <c r="X35" s="83"/>
      <c r="Y35" s="83"/>
      <c r="Z35" s="85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5"/>
      <c r="AT35" s="48"/>
      <c r="AU35" s="41"/>
      <c r="AV35" s="39"/>
    </row>
    <row r="36" spans="3:48" ht="8.25" customHeight="1" x14ac:dyDescent="0.2">
      <c r="C36" s="7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3"/>
      <c r="V36" s="86"/>
      <c r="W36" s="86"/>
      <c r="X36" s="143"/>
      <c r="Y36" s="143"/>
      <c r="Z36" s="143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3"/>
      <c r="AT36" s="50"/>
      <c r="AU36" s="41"/>
      <c r="AV36" s="39"/>
    </row>
    <row r="37" spans="3:48" ht="2.25" customHeight="1" x14ac:dyDescent="0.2">
      <c r="C37" s="7"/>
      <c r="D37" s="71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51"/>
      <c r="AU37" s="41"/>
      <c r="AV37" s="39"/>
    </row>
    <row r="38" spans="3:48" s="5" customFormat="1" ht="15" customHeight="1" x14ac:dyDescent="0.2">
      <c r="C38" s="6"/>
      <c r="D38" s="137" t="s">
        <v>66</v>
      </c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76"/>
      <c r="AI38" s="21"/>
      <c r="AJ38" s="27"/>
      <c r="AK38" s="77"/>
      <c r="AL38" s="149" t="s">
        <v>14</v>
      </c>
      <c r="AM38" s="149"/>
      <c r="AN38" s="149"/>
      <c r="AO38" s="149"/>
      <c r="AP38" s="149"/>
      <c r="AQ38" s="155">
        <f>IF(AQ40="X",20,IF(AF40="X",15,IF(X40="X",10,IF(K40="X",5,0))))</f>
        <v>0</v>
      </c>
      <c r="AR38" s="156"/>
      <c r="AS38" s="157"/>
      <c r="AT38" s="34"/>
      <c r="AU38" s="22"/>
      <c r="AV38" s="21"/>
    </row>
    <row r="39" spans="3:48" s="5" customFormat="1" ht="13.5" x14ac:dyDescent="0.2">
      <c r="C39" s="6"/>
      <c r="D39" s="52"/>
      <c r="E39" s="21"/>
      <c r="F39" s="21"/>
      <c r="G39" s="21"/>
      <c r="H39" s="21"/>
      <c r="I39" s="21"/>
      <c r="J39" s="21"/>
      <c r="K39" s="21"/>
      <c r="L39" s="21"/>
      <c r="M39" s="21"/>
      <c r="N39" s="76"/>
      <c r="O39" s="21"/>
      <c r="P39" s="21"/>
      <c r="Q39" s="77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76"/>
      <c r="AI39" s="21"/>
      <c r="AJ39" s="21"/>
      <c r="AK39" s="77"/>
      <c r="AL39" s="21"/>
      <c r="AM39" s="21"/>
      <c r="AN39" s="21"/>
      <c r="AO39" s="77"/>
      <c r="AP39" s="21"/>
      <c r="AQ39" s="21"/>
      <c r="AR39" s="21"/>
      <c r="AS39" s="21"/>
      <c r="AT39" s="34"/>
      <c r="AU39" s="22"/>
      <c r="AV39" s="21"/>
    </row>
    <row r="40" spans="3:48" s="5" customFormat="1" ht="27.75" customHeight="1" x14ac:dyDescent="0.2">
      <c r="C40" s="6"/>
      <c r="D40" s="174" t="s">
        <v>20</v>
      </c>
      <c r="E40" s="159"/>
      <c r="F40" s="159"/>
      <c r="G40" s="159"/>
      <c r="H40" s="159"/>
      <c r="I40" s="159"/>
      <c r="J40" s="159"/>
      <c r="K40" s="53"/>
      <c r="L40" s="21"/>
      <c r="M40" s="159" t="s">
        <v>21</v>
      </c>
      <c r="N40" s="159"/>
      <c r="O40" s="159"/>
      <c r="P40" s="159"/>
      <c r="Q40" s="159"/>
      <c r="R40" s="159"/>
      <c r="S40" s="159"/>
      <c r="T40" s="159"/>
      <c r="U40" s="159"/>
      <c r="V40" s="159"/>
      <c r="W40" s="171"/>
      <c r="X40" s="53"/>
      <c r="Y40" s="159" t="s">
        <v>22</v>
      </c>
      <c r="Z40" s="159"/>
      <c r="AA40" s="159"/>
      <c r="AB40" s="159"/>
      <c r="AC40" s="159"/>
      <c r="AD40" s="159"/>
      <c r="AE40" s="171"/>
      <c r="AF40" s="53"/>
      <c r="AG40" s="21"/>
      <c r="AH40" s="172" t="s">
        <v>23</v>
      </c>
      <c r="AI40" s="172"/>
      <c r="AJ40" s="172"/>
      <c r="AK40" s="172"/>
      <c r="AL40" s="172"/>
      <c r="AM40" s="172"/>
      <c r="AN40" s="172"/>
      <c r="AO40" s="172"/>
      <c r="AP40" s="173"/>
      <c r="AQ40" s="53"/>
      <c r="AR40" s="21"/>
      <c r="AS40" s="21"/>
      <c r="AT40" s="34"/>
      <c r="AU40" s="22"/>
      <c r="AV40" s="21"/>
    </row>
    <row r="41" spans="3:48" s="5" customFormat="1" ht="3" customHeight="1" x14ac:dyDescent="0.2">
      <c r="C41" s="6"/>
      <c r="D41" s="75"/>
      <c r="E41" s="21"/>
      <c r="F41" s="27"/>
      <c r="G41" s="27"/>
      <c r="H41" s="27"/>
      <c r="I41" s="27"/>
      <c r="J41" s="27"/>
      <c r="K41" s="27"/>
      <c r="L41" s="27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76"/>
      <c r="AI41" s="21"/>
      <c r="AJ41" s="21"/>
      <c r="AK41" s="77"/>
      <c r="AL41" s="21"/>
      <c r="AM41" s="21"/>
      <c r="AN41" s="21"/>
      <c r="AO41" s="77"/>
      <c r="AP41" s="21"/>
      <c r="AQ41" s="21"/>
      <c r="AR41" s="21"/>
      <c r="AS41" s="21"/>
      <c r="AT41" s="34"/>
      <c r="AU41" s="22"/>
      <c r="AV41" s="21"/>
    </row>
    <row r="42" spans="3:48" s="5" customFormat="1" ht="3" customHeight="1" x14ac:dyDescent="0.2">
      <c r="C42" s="6"/>
      <c r="D42" s="87"/>
      <c r="E42" s="54"/>
      <c r="F42" s="86"/>
      <c r="G42" s="86"/>
      <c r="H42" s="86"/>
      <c r="I42" s="86"/>
      <c r="J42" s="86"/>
      <c r="K42" s="86"/>
      <c r="L42" s="86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88"/>
      <c r="AI42" s="54"/>
      <c r="AJ42" s="54"/>
      <c r="AK42" s="89"/>
      <c r="AL42" s="54"/>
      <c r="AM42" s="54"/>
      <c r="AN42" s="54"/>
      <c r="AO42" s="89"/>
      <c r="AP42" s="54"/>
      <c r="AQ42" s="54"/>
      <c r="AR42" s="54"/>
      <c r="AS42" s="54"/>
      <c r="AT42" s="55"/>
      <c r="AU42" s="22"/>
      <c r="AV42" s="21"/>
    </row>
    <row r="43" spans="3:48" s="5" customFormat="1" ht="3" customHeight="1" x14ac:dyDescent="0.2">
      <c r="C43" s="6"/>
      <c r="D43" s="72"/>
      <c r="E43" s="46"/>
      <c r="F43" s="72"/>
      <c r="G43" s="72"/>
      <c r="H43" s="72"/>
      <c r="I43" s="72"/>
      <c r="J43" s="72"/>
      <c r="K43" s="72"/>
      <c r="L43" s="72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73"/>
      <c r="AI43" s="46"/>
      <c r="AJ43" s="46"/>
      <c r="AK43" s="74"/>
      <c r="AL43" s="46"/>
      <c r="AM43" s="46"/>
      <c r="AN43" s="46"/>
      <c r="AO43" s="74"/>
      <c r="AP43" s="46"/>
      <c r="AQ43" s="46"/>
      <c r="AR43" s="46"/>
      <c r="AS43" s="46"/>
      <c r="AT43" s="21"/>
      <c r="AU43" s="22"/>
      <c r="AV43" s="21"/>
    </row>
    <row r="44" spans="3:48" ht="3.75" customHeight="1" x14ac:dyDescent="0.2">
      <c r="C44" s="6"/>
      <c r="D44" s="56"/>
      <c r="E44" s="46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7"/>
      <c r="AU44" s="41"/>
      <c r="AV44" s="39"/>
    </row>
    <row r="45" spans="3:48" ht="15.75" customHeight="1" x14ac:dyDescent="0.2">
      <c r="C45" s="7"/>
      <c r="D45" s="137" t="s">
        <v>24</v>
      </c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90"/>
      <c r="Q45" s="90"/>
      <c r="R45" s="140" t="s">
        <v>25</v>
      </c>
      <c r="S45" s="140"/>
      <c r="T45" s="140"/>
      <c r="U45" s="140"/>
      <c r="V45" s="140"/>
      <c r="W45" s="140"/>
      <c r="X45" s="140"/>
      <c r="Y45" s="91"/>
      <c r="Z45" s="123"/>
      <c r="AA45" s="123"/>
      <c r="AB45" s="123"/>
      <c r="AC45" s="39"/>
      <c r="AD45" s="123"/>
      <c r="AE45" s="123"/>
      <c r="AF45" s="123"/>
      <c r="AG45" s="92"/>
      <c r="AH45" s="123"/>
      <c r="AI45" s="123"/>
      <c r="AJ45" s="123"/>
      <c r="AK45" s="66"/>
      <c r="AL45" s="123"/>
      <c r="AM45" s="123"/>
      <c r="AN45" s="123"/>
      <c r="AO45" s="66"/>
      <c r="AP45" s="123"/>
      <c r="AQ45" s="123"/>
      <c r="AR45" s="123"/>
      <c r="AS45" s="39"/>
      <c r="AT45" s="48"/>
      <c r="AU45" s="57"/>
      <c r="AV45" s="39"/>
    </row>
    <row r="46" spans="3:48" ht="12.75" customHeight="1" x14ac:dyDescent="0.2">
      <c r="C46" s="7"/>
      <c r="D46" s="177" t="s">
        <v>26</v>
      </c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34"/>
      <c r="AU46" s="57"/>
      <c r="AV46" s="39"/>
    </row>
    <row r="47" spans="3:48" s="5" customFormat="1" ht="14.25" customHeight="1" x14ac:dyDescent="0.2">
      <c r="C47" s="6"/>
      <c r="D47" s="75"/>
      <c r="E47" s="90"/>
      <c r="F47" s="27"/>
      <c r="G47" s="27"/>
      <c r="H47" s="27"/>
      <c r="I47" s="27"/>
      <c r="J47" s="27"/>
      <c r="K47" s="27"/>
      <c r="L47" s="21"/>
      <c r="M47" s="21"/>
      <c r="N47" s="21"/>
      <c r="O47" s="21"/>
      <c r="P47" s="21"/>
      <c r="Q47" s="21"/>
      <c r="R47" s="144" t="s">
        <v>4</v>
      </c>
      <c r="S47" s="145"/>
      <c r="T47" s="146"/>
      <c r="U47" s="21"/>
      <c r="V47" s="144" t="s">
        <v>5</v>
      </c>
      <c r="W47" s="145"/>
      <c r="X47" s="146"/>
      <c r="Y47" s="27"/>
      <c r="Z47" s="144" t="s">
        <v>6</v>
      </c>
      <c r="AA47" s="145"/>
      <c r="AB47" s="146"/>
      <c r="AC47" s="27"/>
      <c r="AD47" s="144" t="s">
        <v>7</v>
      </c>
      <c r="AE47" s="145"/>
      <c r="AF47" s="146"/>
      <c r="AG47" s="27"/>
      <c r="AH47" s="144" t="s">
        <v>8</v>
      </c>
      <c r="AI47" s="145"/>
      <c r="AJ47" s="146"/>
      <c r="AK47" s="21"/>
      <c r="AL47" s="144" t="s">
        <v>9</v>
      </c>
      <c r="AM47" s="145"/>
      <c r="AN47" s="146"/>
      <c r="AO47" s="21"/>
      <c r="AP47" s="144" t="s">
        <v>10</v>
      </c>
      <c r="AQ47" s="145"/>
      <c r="AR47" s="146"/>
      <c r="AS47" s="21"/>
      <c r="AT47" s="34"/>
      <c r="AU47" s="58"/>
      <c r="AV47" s="21"/>
    </row>
    <row r="48" spans="3:48" s="5" customFormat="1" ht="5.25" customHeight="1" x14ac:dyDescent="0.2">
      <c r="C48" s="6"/>
      <c r="D48" s="75"/>
      <c r="E48" s="90"/>
      <c r="F48" s="27"/>
      <c r="G48" s="27"/>
      <c r="H48" s="27"/>
      <c r="I48" s="27"/>
      <c r="J48" s="27"/>
      <c r="K48" s="27"/>
      <c r="L48" s="21"/>
      <c r="M48" s="21"/>
      <c r="N48" s="21"/>
      <c r="O48" s="21"/>
      <c r="P48" s="21"/>
      <c r="Q48" s="21"/>
      <c r="R48" s="73"/>
      <c r="S48" s="73"/>
      <c r="T48" s="73"/>
      <c r="U48" s="21"/>
      <c r="V48" s="73"/>
      <c r="W48" s="73"/>
      <c r="X48" s="73"/>
      <c r="Y48" s="27"/>
      <c r="Z48" s="73"/>
      <c r="AA48" s="73"/>
      <c r="AB48" s="73"/>
      <c r="AC48" s="27"/>
      <c r="AD48" s="73"/>
      <c r="AE48" s="73"/>
      <c r="AF48" s="73"/>
      <c r="AG48" s="27"/>
      <c r="AH48" s="73"/>
      <c r="AI48" s="73"/>
      <c r="AJ48" s="73"/>
      <c r="AK48" s="21"/>
      <c r="AL48" s="73"/>
      <c r="AM48" s="73"/>
      <c r="AN48" s="73"/>
      <c r="AO48" s="21"/>
      <c r="AP48" s="93"/>
      <c r="AQ48" s="93"/>
      <c r="AR48" s="93"/>
      <c r="AS48" s="21"/>
      <c r="AT48" s="34"/>
      <c r="AU48" s="58"/>
      <c r="AV48" s="21"/>
    </row>
    <row r="49" spans="3:48" s="5" customFormat="1" ht="24.75" customHeight="1" x14ac:dyDescent="0.2">
      <c r="C49" s="6"/>
      <c r="D49" s="179" t="s">
        <v>27</v>
      </c>
      <c r="E49" s="180"/>
      <c r="F49" s="180"/>
      <c r="G49" s="180"/>
      <c r="H49" s="180"/>
      <c r="I49" s="180"/>
      <c r="J49" s="180"/>
      <c r="K49" s="180"/>
      <c r="L49" s="180"/>
      <c r="M49" s="180"/>
      <c r="N49" s="26"/>
      <c r="O49" s="94"/>
      <c r="P49" s="94"/>
      <c r="Q49" s="94"/>
      <c r="R49" s="141"/>
      <c r="S49" s="141"/>
      <c r="T49" s="141"/>
      <c r="U49" s="95"/>
      <c r="V49" s="141"/>
      <c r="W49" s="141"/>
      <c r="X49" s="141"/>
      <c r="Y49" s="96"/>
      <c r="Z49" s="141"/>
      <c r="AA49" s="141"/>
      <c r="AB49" s="141"/>
      <c r="AC49" s="96"/>
      <c r="AD49" s="141"/>
      <c r="AE49" s="141"/>
      <c r="AF49" s="141"/>
      <c r="AG49" s="96"/>
      <c r="AH49" s="141"/>
      <c r="AI49" s="141"/>
      <c r="AJ49" s="141"/>
      <c r="AK49" s="96"/>
      <c r="AL49" s="141"/>
      <c r="AM49" s="141"/>
      <c r="AN49" s="141"/>
      <c r="AO49" s="96"/>
      <c r="AP49" s="141"/>
      <c r="AQ49" s="141"/>
      <c r="AR49" s="141"/>
      <c r="AS49" s="76"/>
      <c r="AT49" s="97"/>
      <c r="AU49" s="98"/>
      <c r="AV49" s="76"/>
    </row>
    <row r="50" spans="3:48" s="5" customFormat="1" ht="24.75" customHeight="1" x14ac:dyDescent="0.2">
      <c r="C50" s="6"/>
      <c r="D50" s="175" t="s">
        <v>28</v>
      </c>
      <c r="E50" s="176"/>
      <c r="F50" s="176"/>
      <c r="G50" s="176"/>
      <c r="H50" s="176"/>
      <c r="I50" s="176"/>
      <c r="J50" s="176"/>
      <c r="K50" s="176"/>
      <c r="L50" s="176"/>
      <c r="M50" s="176"/>
      <c r="N50" s="26"/>
      <c r="O50" s="94"/>
      <c r="P50" s="94"/>
      <c r="Q50" s="94"/>
      <c r="R50" s="141"/>
      <c r="S50" s="141"/>
      <c r="T50" s="141"/>
      <c r="U50" s="95"/>
      <c r="V50" s="141"/>
      <c r="W50" s="141"/>
      <c r="X50" s="141"/>
      <c r="Y50" s="96"/>
      <c r="Z50" s="141"/>
      <c r="AA50" s="141"/>
      <c r="AB50" s="141"/>
      <c r="AC50" s="96"/>
      <c r="AD50" s="141"/>
      <c r="AE50" s="141"/>
      <c r="AF50" s="141"/>
      <c r="AG50" s="96"/>
      <c r="AH50" s="141"/>
      <c r="AI50" s="141"/>
      <c r="AJ50" s="141"/>
      <c r="AK50" s="96"/>
      <c r="AL50" s="141"/>
      <c r="AM50" s="141"/>
      <c r="AN50" s="141"/>
      <c r="AO50" s="96"/>
      <c r="AP50" s="141"/>
      <c r="AQ50" s="141"/>
      <c r="AR50" s="141"/>
      <c r="AS50" s="76"/>
      <c r="AT50" s="97"/>
      <c r="AU50" s="98"/>
      <c r="AV50" s="76"/>
    </row>
    <row r="51" spans="3:48" s="5" customFormat="1" ht="24.75" customHeight="1" x14ac:dyDescent="0.2">
      <c r="C51" s="6"/>
      <c r="D51" s="175" t="s">
        <v>29</v>
      </c>
      <c r="E51" s="176"/>
      <c r="F51" s="176"/>
      <c r="G51" s="176"/>
      <c r="H51" s="176"/>
      <c r="I51" s="176"/>
      <c r="J51" s="176"/>
      <c r="K51" s="176"/>
      <c r="L51" s="176"/>
      <c r="M51" s="176"/>
      <c r="N51" s="26"/>
      <c r="O51" s="94"/>
      <c r="P51" s="94"/>
      <c r="Q51" s="94"/>
      <c r="R51" s="141"/>
      <c r="S51" s="141"/>
      <c r="T51" s="141"/>
      <c r="U51" s="95"/>
      <c r="V51" s="141"/>
      <c r="W51" s="141"/>
      <c r="X51" s="141"/>
      <c r="Y51" s="96"/>
      <c r="Z51" s="141"/>
      <c r="AA51" s="141"/>
      <c r="AB51" s="141"/>
      <c r="AC51" s="96"/>
      <c r="AD51" s="141"/>
      <c r="AE51" s="141"/>
      <c r="AF51" s="141"/>
      <c r="AG51" s="96"/>
      <c r="AH51" s="141"/>
      <c r="AI51" s="141"/>
      <c r="AJ51" s="141"/>
      <c r="AK51" s="96"/>
      <c r="AL51" s="141"/>
      <c r="AM51" s="141"/>
      <c r="AN51" s="141"/>
      <c r="AO51" s="96"/>
      <c r="AP51" s="141"/>
      <c r="AQ51" s="141"/>
      <c r="AR51" s="141"/>
      <c r="AS51" s="76"/>
      <c r="AT51" s="97"/>
      <c r="AU51" s="98"/>
      <c r="AV51" s="76"/>
    </row>
    <row r="52" spans="3:48" s="5" customFormat="1" ht="24.75" customHeight="1" x14ac:dyDescent="0.2">
      <c r="C52" s="6"/>
      <c r="D52" s="179" t="s">
        <v>30</v>
      </c>
      <c r="E52" s="180"/>
      <c r="F52" s="180"/>
      <c r="G52" s="180"/>
      <c r="H52" s="180"/>
      <c r="I52" s="180"/>
      <c r="J52" s="180"/>
      <c r="K52" s="180"/>
      <c r="L52" s="180"/>
      <c r="M52" s="180"/>
      <c r="N52" s="26"/>
      <c r="O52" s="94"/>
      <c r="P52" s="94"/>
      <c r="Q52" s="94"/>
      <c r="R52" s="141"/>
      <c r="S52" s="141"/>
      <c r="T52" s="141"/>
      <c r="U52" s="95"/>
      <c r="V52" s="141"/>
      <c r="W52" s="141"/>
      <c r="X52" s="141"/>
      <c r="Y52" s="96"/>
      <c r="Z52" s="141"/>
      <c r="AA52" s="141"/>
      <c r="AB52" s="141"/>
      <c r="AC52" s="96"/>
      <c r="AD52" s="141"/>
      <c r="AE52" s="141"/>
      <c r="AF52" s="141"/>
      <c r="AG52" s="96"/>
      <c r="AH52" s="141"/>
      <c r="AI52" s="141"/>
      <c r="AJ52" s="141"/>
      <c r="AK52" s="96"/>
      <c r="AL52" s="141"/>
      <c r="AM52" s="141"/>
      <c r="AN52" s="141"/>
      <c r="AO52" s="96"/>
      <c r="AP52" s="141"/>
      <c r="AQ52" s="141"/>
      <c r="AR52" s="141"/>
      <c r="AS52" s="76"/>
      <c r="AT52" s="97"/>
      <c r="AU52" s="98"/>
      <c r="AV52" s="76"/>
    </row>
    <row r="53" spans="3:48" ht="13.5" x14ac:dyDescent="0.2">
      <c r="C53" s="7"/>
      <c r="D53" s="75"/>
      <c r="E53" s="27"/>
      <c r="F53" s="27"/>
      <c r="G53" s="27"/>
      <c r="H53" s="27"/>
      <c r="I53" s="27"/>
      <c r="J53" s="27"/>
      <c r="K53" s="149" t="s">
        <v>14</v>
      </c>
      <c r="L53" s="149"/>
      <c r="M53" s="149"/>
      <c r="N53" s="149"/>
      <c r="O53" s="149"/>
      <c r="P53" s="86"/>
      <c r="Q53" s="86"/>
      <c r="R53" s="139">
        <f>IF(R52="X",30,IF(R51="X",25,IF(R50="X",20,IF(R49="X",15,0))))</f>
        <v>0</v>
      </c>
      <c r="S53" s="139"/>
      <c r="T53" s="139"/>
      <c r="U53" s="95"/>
      <c r="V53" s="139">
        <f>IF(V52="X",30,IF(V51="X",25,IF(V50="X",20,IF(V49="X",15,0))))</f>
        <v>0</v>
      </c>
      <c r="W53" s="139"/>
      <c r="X53" s="139"/>
      <c r="Y53" s="64"/>
      <c r="Z53" s="139">
        <f>IF(Z52="X",30,IF(Z51="X",25,IF(Z50="X",20,IF(Z49="X",15,0))))</f>
        <v>0</v>
      </c>
      <c r="AA53" s="139"/>
      <c r="AB53" s="139"/>
      <c r="AC53" s="64"/>
      <c r="AD53" s="139">
        <f>IF(AD52="X",30,IF(AD51="X",25,IF(AD50="X",20,IF(AD49="X",15,0))))</f>
        <v>0</v>
      </c>
      <c r="AE53" s="139"/>
      <c r="AF53" s="139"/>
      <c r="AG53" s="64"/>
      <c r="AH53" s="139">
        <f>IF(AH52="X",30,IF(AH51="X",25,IF(AH50="X",20,IF(AH49="X",15,0))))</f>
        <v>0</v>
      </c>
      <c r="AI53" s="139"/>
      <c r="AJ53" s="139"/>
      <c r="AK53" s="39"/>
      <c r="AL53" s="139">
        <f>IF(AL52="X",30,IF(AL51="X",25,IF(AL50="X",20,IF(AL49="X",15,0))))</f>
        <v>0</v>
      </c>
      <c r="AM53" s="139"/>
      <c r="AN53" s="139"/>
      <c r="AO53" s="39"/>
      <c r="AP53" s="139">
        <f>IF(AP52="X",30,IF(AP51="X",25,IF(AP50="X",20,IF(AP49="X",15,0))))</f>
        <v>0</v>
      </c>
      <c r="AQ53" s="139"/>
      <c r="AR53" s="139"/>
      <c r="AS53" s="21"/>
      <c r="AT53" s="48"/>
      <c r="AU53" s="57"/>
      <c r="AV53" s="39"/>
    </row>
    <row r="54" spans="3:48" ht="9" customHeight="1" x14ac:dyDescent="0.2">
      <c r="C54" s="7"/>
      <c r="D54" s="75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1"/>
      <c r="AL54" s="21"/>
      <c r="AM54" s="21"/>
      <c r="AN54" s="21"/>
      <c r="AO54" s="21"/>
      <c r="AP54" s="21"/>
      <c r="AQ54" s="21"/>
      <c r="AR54" s="21"/>
      <c r="AS54" s="21"/>
      <c r="AT54" s="48"/>
      <c r="AU54" s="57"/>
      <c r="AV54" s="39"/>
    </row>
    <row r="55" spans="3:48" ht="15" customHeight="1" x14ac:dyDescent="0.2">
      <c r="C55" s="7"/>
      <c r="D55" s="75"/>
      <c r="E55" s="149" t="s">
        <v>18</v>
      </c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27"/>
      <c r="AA55" s="149" t="s">
        <v>19</v>
      </c>
      <c r="AB55" s="149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27"/>
      <c r="AT55" s="48"/>
      <c r="AU55" s="41"/>
      <c r="AV55" s="39"/>
    </row>
    <row r="56" spans="3:48" ht="14.25" customHeight="1" x14ac:dyDescent="0.2">
      <c r="C56" s="7"/>
      <c r="D56" s="80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8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81"/>
      <c r="AT56" s="48"/>
      <c r="AU56" s="41"/>
      <c r="AV56" s="39"/>
    </row>
    <row r="57" spans="3:48" ht="14.25" customHeight="1" x14ac:dyDescent="0.2">
      <c r="C57" s="7"/>
      <c r="D57" s="80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8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81"/>
      <c r="AT57" s="48"/>
      <c r="AU57" s="41"/>
      <c r="AV57" s="39"/>
    </row>
    <row r="58" spans="3:48" ht="14.25" customHeight="1" x14ac:dyDescent="0.2">
      <c r="C58" s="7"/>
      <c r="D58" s="80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8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81"/>
      <c r="AT58" s="48"/>
      <c r="AU58" s="41"/>
      <c r="AV58" s="39"/>
    </row>
    <row r="59" spans="3:48" ht="14.25" customHeight="1" x14ac:dyDescent="0.2">
      <c r="C59" s="7"/>
      <c r="D59" s="80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8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81"/>
      <c r="AT59" s="48"/>
      <c r="AU59" s="41"/>
      <c r="AV59" s="39"/>
    </row>
    <row r="60" spans="3:48" ht="14.25" customHeight="1" x14ac:dyDescent="0.2">
      <c r="C60" s="7"/>
      <c r="D60" s="80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8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81"/>
      <c r="AT60" s="48"/>
      <c r="AU60" s="41"/>
      <c r="AV60" s="39"/>
    </row>
    <row r="61" spans="3:48" ht="14.25" customHeight="1" x14ac:dyDescent="0.2">
      <c r="C61" s="7"/>
      <c r="D61" s="80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8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81"/>
      <c r="AT61" s="48"/>
      <c r="AU61" s="41"/>
      <c r="AV61" s="39"/>
    </row>
    <row r="62" spans="3:48" ht="14.25" customHeight="1" x14ac:dyDescent="0.2">
      <c r="C62" s="7"/>
      <c r="D62" s="80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8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81"/>
      <c r="AT62" s="48"/>
      <c r="AU62" s="41"/>
      <c r="AV62" s="39"/>
    </row>
    <row r="63" spans="3:48" ht="14.25" customHeight="1" x14ac:dyDescent="0.2">
      <c r="C63" s="7"/>
      <c r="D63" s="80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8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81"/>
      <c r="AT63" s="48"/>
      <c r="AU63" s="41"/>
      <c r="AV63" s="39"/>
    </row>
    <row r="64" spans="3:48" ht="13.5" x14ac:dyDescent="0.2">
      <c r="C64" s="7"/>
      <c r="D64" s="80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8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81"/>
      <c r="AT64" s="48"/>
      <c r="AU64" s="41"/>
      <c r="AV64" s="39"/>
    </row>
    <row r="65" spans="3:58" ht="13.5" x14ac:dyDescent="0.2">
      <c r="C65" s="7"/>
      <c r="D65" s="80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8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81"/>
      <c r="AT65" s="48"/>
      <c r="AU65" s="41"/>
      <c r="AV65" s="39"/>
    </row>
    <row r="66" spans="3:58" ht="7.5" customHeight="1" x14ac:dyDescent="0.2">
      <c r="C66" s="7"/>
      <c r="D66" s="82"/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8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85"/>
      <c r="AT66" s="48"/>
      <c r="AU66" s="41"/>
      <c r="AV66" s="39"/>
    </row>
    <row r="67" spans="3:58" s="5" customFormat="1" ht="3" customHeight="1" x14ac:dyDescent="0.2">
      <c r="C67" s="6"/>
      <c r="D67" s="72"/>
      <c r="E67" s="46"/>
      <c r="F67" s="72"/>
      <c r="G67" s="72"/>
      <c r="H67" s="72"/>
      <c r="I67" s="72"/>
      <c r="J67" s="72"/>
      <c r="K67" s="72"/>
      <c r="L67" s="72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73"/>
      <c r="AI67" s="46"/>
      <c r="AJ67" s="46"/>
      <c r="AK67" s="74"/>
      <c r="AL67" s="46"/>
      <c r="AM67" s="46"/>
      <c r="AN67" s="46"/>
      <c r="AO67" s="74"/>
      <c r="AP67" s="46"/>
      <c r="AQ67" s="46"/>
      <c r="AR67" s="46"/>
      <c r="AS67" s="46"/>
      <c r="AT67" s="21"/>
      <c r="AU67" s="22"/>
      <c r="AV67" s="21"/>
    </row>
    <row r="68" spans="3:58" ht="3.75" customHeight="1" x14ac:dyDescent="0.2">
      <c r="C68" s="6"/>
      <c r="D68" s="21"/>
      <c r="E68" s="21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41"/>
      <c r="AV68" s="39"/>
    </row>
    <row r="69" spans="3:58" ht="2.25" customHeight="1" x14ac:dyDescent="0.2">
      <c r="C69" s="6"/>
      <c r="D69" s="56"/>
      <c r="E69" s="46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7"/>
      <c r="AU69" s="41"/>
      <c r="AV69" s="39"/>
    </row>
    <row r="70" spans="3:58" ht="15.75" customHeight="1" x14ac:dyDescent="0.2">
      <c r="C70" s="7"/>
      <c r="D70" s="137" t="s">
        <v>31</v>
      </c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90"/>
      <c r="R70" s="140" t="s">
        <v>32</v>
      </c>
      <c r="S70" s="140"/>
      <c r="T70" s="140"/>
      <c r="U70" s="140"/>
      <c r="V70" s="140"/>
      <c r="W70" s="140"/>
      <c r="X70" s="27"/>
      <c r="Y70" s="27"/>
      <c r="Z70" s="27"/>
      <c r="AA70" s="27"/>
      <c r="AB70" s="21"/>
      <c r="AC70" s="21"/>
      <c r="AD70" s="21"/>
      <c r="AE70" s="21"/>
      <c r="AF70" s="21"/>
      <c r="AG70" s="90"/>
      <c r="AH70" s="21"/>
      <c r="AI70" s="21"/>
      <c r="AJ70" s="21"/>
      <c r="AK70" s="99"/>
      <c r="AL70" s="100"/>
      <c r="AM70" s="123"/>
      <c r="AN70" s="123"/>
      <c r="AO70" s="123"/>
      <c r="AP70" s="123"/>
      <c r="AQ70" s="123"/>
      <c r="AR70" s="123"/>
      <c r="AS70" s="123"/>
      <c r="AT70" s="48"/>
      <c r="AU70" s="41"/>
      <c r="AV70" s="39"/>
    </row>
    <row r="71" spans="3:58" ht="10.5" customHeight="1" x14ac:dyDescent="0.2">
      <c r="C71" s="7"/>
      <c r="D71" s="177" t="s">
        <v>33</v>
      </c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90"/>
      <c r="R71" s="90"/>
      <c r="S71" s="90"/>
      <c r="T71" s="90"/>
      <c r="U71" s="90"/>
      <c r="V71" s="27"/>
      <c r="W71" s="27"/>
      <c r="X71" s="27"/>
      <c r="Y71" s="27"/>
      <c r="Z71" s="27"/>
      <c r="AA71" s="27"/>
      <c r="AB71" s="21"/>
      <c r="AC71" s="21"/>
      <c r="AD71" s="21"/>
      <c r="AE71" s="21"/>
      <c r="AF71" s="21"/>
      <c r="AG71" s="90"/>
      <c r="AH71" s="21"/>
      <c r="AI71" s="21"/>
      <c r="AJ71" s="21"/>
      <c r="AK71" s="99"/>
      <c r="AL71" s="100"/>
      <c r="AM71" s="123"/>
      <c r="AN71" s="123"/>
      <c r="AO71" s="123"/>
      <c r="AP71" s="123"/>
      <c r="AQ71" s="123"/>
      <c r="AR71" s="123"/>
      <c r="AS71" s="123"/>
      <c r="AT71" s="48"/>
      <c r="AU71" s="41"/>
      <c r="AV71" s="39"/>
    </row>
    <row r="72" spans="3:58" s="5" customFormat="1" ht="2.25" customHeight="1" x14ac:dyDescent="0.2">
      <c r="C72" s="6"/>
      <c r="D72" s="101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27"/>
      <c r="W72" s="27"/>
      <c r="X72" s="27"/>
      <c r="Y72" s="27"/>
      <c r="Z72" s="27"/>
      <c r="AA72" s="27"/>
      <c r="AB72" s="21"/>
      <c r="AC72" s="21"/>
      <c r="AD72" s="54"/>
      <c r="AE72" s="54"/>
      <c r="AF72" s="54"/>
      <c r="AG72" s="21"/>
      <c r="AH72" s="21"/>
      <c r="AI72" s="21"/>
      <c r="AJ72" s="90"/>
      <c r="AK72" s="27"/>
      <c r="AL72" s="27"/>
      <c r="AM72" s="76"/>
      <c r="AN72" s="76"/>
      <c r="AO72" s="27"/>
      <c r="AP72" s="27"/>
      <c r="AQ72" s="76"/>
      <c r="AR72" s="76"/>
      <c r="AS72" s="76"/>
      <c r="AT72" s="97"/>
      <c r="AU72" s="102"/>
      <c r="AV72" s="76"/>
      <c r="AZ72" s="8"/>
      <c r="BA72" s="8"/>
      <c r="BB72" s="8"/>
      <c r="BC72" s="8"/>
      <c r="BD72" s="8"/>
      <c r="BE72" s="8"/>
      <c r="BF72" s="8"/>
    </row>
    <row r="73" spans="3:58" s="5" customFormat="1" ht="14.25" customHeight="1" x14ac:dyDescent="0.2">
      <c r="C73" s="6"/>
      <c r="D73" s="177"/>
      <c r="E73" s="178"/>
      <c r="F73" s="178"/>
      <c r="G73" s="178"/>
      <c r="H73" s="178"/>
      <c r="I73" s="178"/>
      <c r="J73" s="178"/>
      <c r="K73" s="178"/>
      <c r="L73" s="21"/>
      <c r="M73" s="21"/>
      <c r="N73" s="21"/>
      <c r="O73" s="21"/>
      <c r="P73" s="21"/>
      <c r="Q73" s="21"/>
      <c r="R73" s="144" t="s">
        <v>4</v>
      </c>
      <c r="S73" s="145"/>
      <c r="T73" s="146"/>
      <c r="U73" s="21"/>
      <c r="V73" s="144" t="s">
        <v>5</v>
      </c>
      <c r="W73" s="145"/>
      <c r="X73" s="146"/>
      <c r="Y73" s="27"/>
      <c r="Z73" s="144" t="s">
        <v>6</v>
      </c>
      <c r="AA73" s="145"/>
      <c r="AB73" s="146"/>
      <c r="AC73" s="27"/>
      <c r="AD73" s="144" t="s">
        <v>7</v>
      </c>
      <c r="AE73" s="145"/>
      <c r="AF73" s="146"/>
      <c r="AG73" s="27"/>
      <c r="AH73" s="144" t="s">
        <v>8</v>
      </c>
      <c r="AI73" s="145"/>
      <c r="AJ73" s="146"/>
      <c r="AK73" s="21"/>
      <c r="AL73" s="144" t="s">
        <v>9</v>
      </c>
      <c r="AM73" s="145"/>
      <c r="AN73" s="146"/>
      <c r="AO73" s="21"/>
      <c r="AP73" s="144" t="s">
        <v>10</v>
      </c>
      <c r="AQ73" s="145"/>
      <c r="AR73" s="146"/>
      <c r="AS73" s="21"/>
      <c r="AT73" s="34"/>
      <c r="AU73" s="22"/>
      <c r="AV73" s="21"/>
      <c r="AZ73" s="8"/>
      <c r="BA73" s="8"/>
      <c r="BB73" s="8"/>
      <c r="BC73" s="8"/>
      <c r="BD73" s="8"/>
      <c r="BE73" s="8"/>
      <c r="BF73" s="8"/>
    </row>
    <row r="74" spans="3:58" s="5" customFormat="1" ht="8.25" customHeight="1" x14ac:dyDescent="0.2">
      <c r="C74" s="6"/>
      <c r="D74" s="103"/>
      <c r="E74" s="26"/>
      <c r="F74" s="26"/>
      <c r="G74" s="26"/>
      <c r="H74" s="26"/>
      <c r="I74" s="26"/>
      <c r="J74" s="26"/>
      <c r="K74" s="26"/>
      <c r="L74" s="21"/>
      <c r="M74" s="21"/>
      <c r="N74" s="21"/>
      <c r="O74" s="21"/>
      <c r="P74" s="21"/>
      <c r="Q74" s="21"/>
      <c r="R74" s="73"/>
      <c r="S74" s="73"/>
      <c r="T74" s="73"/>
      <c r="U74" s="104"/>
      <c r="V74" s="73"/>
      <c r="W74" s="73"/>
      <c r="X74" s="73"/>
      <c r="Y74" s="27"/>
      <c r="Z74" s="73"/>
      <c r="AA74" s="73"/>
      <c r="AB74" s="73"/>
      <c r="AC74" s="27"/>
      <c r="AD74" s="73"/>
      <c r="AE74" s="73"/>
      <c r="AF74" s="73"/>
      <c r="AG74" s="27"/>
      <c r="AH74" s="73"/>
      <c r="AI74" s="73"/>
      <c r="AJ74" s="73"/>
      <c r="AK74" s="21"/>
      <c r="AL74" s="73"/>
      <c r="AM74" s="73"/>
      <c r="AN74" s="73"/>
      <c r="AO74" s="21"/>
      <c r="AP74" s="93"/>
      <c r="AQ74" s="93"/>
      <c r="AR74" s="93"/>
      <c r="AS74" s="21"/>
      <c r="AT74" s="34"/>
      <c r="AU74" s="22"/>
      <c r="AV74" s="21"/>
      <c r="AZ74" s="8"/>
      <c r="BA74" s="8"/>
      <c r="BB74" s="8"/>
      <c r="BC74" s="8"/>
      <c r="BD74" s="8"/>
      <c r="BE74" s="8"/>
      <c r="BF74" s="8"/>
    </row>
    <row r="75" spans="3:58" s="5" customFormat="1" ht="18.75" customHeight="1" x14ac:dyDescent="0.2">
      <c r="C75" s="6"/>
      <c r="D75" s="134" t="s">
        <v>34</v>
      </c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26"/>
      <c r="P75" s="21"/>
      <c r="Q75" s="21"/>
      <c r="R75" s="136"/>
      <c r="S75" s="136"/>
      <c r="T75" s="136"/>
      <c r="U75" s="95">
        <f>IF(AND(R75&gt;=8),40,0)</f>
        <v>0</v>
      </c>
      <c r="V75" s="136"/>
      <c r="W75" s="136"/>
      <c r="X75" s="136"/>
      <c r="Y75" s="95">
        <f>IF(AND(V75&gt;=8),40,0)</f>
        <v>0</v>
      </c>
      <c r="Z75" s="136"/>
      <c r="AA75" s="136"/>
      <c r="AB75" s="136"/>
      <c r="AC75" s="95">
        <f>IF(AND(Z75&gt;=8),40,0)</f>
        <v>0</v>
      </c>
      <c r="AD75" s="136"/>
      <c r="AE75" s="136"/>
      <c r="AF75" s="136"/>
      <c r="AG75" s="95">
        <f>IF(AND(AD75&gt;=8),40,0)</f>
        <v>0</v>
      </c>
      <c r="AH75" s="136"/>
      <c r="AI75" s="136"/>
      <c r="AJ75" s="136"/>
      <c r="AK75" s="95">
        <f>IF(AND(AH75&gt;=8),40,0)</f>
        <v>0</v>
      </c>
      <c r="AL75" s="136"/>
      <c r="AM75" s="136"/>
      <c r="AN75" s="136"/>
      <c r="AO75" s="95">
        <f>IF(AND(AL75&gt;=8),40,0)</f>
        <v>0</v>
      </c>
      <c r="AP75" s="136"/>
      <c r="AQ75" s="136"/>
      <c r="AR75" s="136"/>
      <c r="AS75" s="95">
        <f>IF(AND(AP75&gt;=8),40,0)</f>
        <v>0</v>
      </c>
      <c r="AT75" s="34"/>
      <c r="AU75" s="22"/>
      <c r="AV75" s="21"/>
      <c r="AY75" s="9"/>
      <c r="AZ75" s="12"/>
      <c r="BA75" s="12"/>
      <c r="BB75" s="8"/>
      <c r="BC75" s="8"/>
      <c r="BD75" s="8"/>
      <c r="BE75" s="8"/>
      <c r="BF75" s="8"/>
    </row>
    <row r="76" spans="3:58" s="5" customFormat="1" ht="18.75" customHeight="1" x14ac:dyDescent="0.2">
      <c r="C76" s="6"/>
      <c r="D76" s="182" t="s">
        <v>35</v>
      </c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26"/>
      <c r="P76" s="21"/>
      <c r="Q76" s="21"/>
      <c r="R76" s="136"/>
      <c r="S76" s="136"/>
      <c r="T76" s="136"/>
      <c r="U76" s="95">
        <f>IF(AND(R75&lt;8,R75&gt;=4),35,0)</f>
        <v>0</v>
      </c>
      <c r="V76" s="136"/>
      <c r="W76" s="136"/>
      <c r="X76" s="136"/>
      <c r="Y76" s="95">
        <f>IF(AND(V75&lt;8,V75&gt;=4),35,0)</f>
        <v>0</v>
      </c>
      <c r="Z76" s="136"/>
      <c r="AA76" s="136"/>
      <c r="AB76" s="136"/>
      <c r="AC76" s="95">
        <f>IF(AND(Z75&lt;8,Z75&gt;=4),35,0)</f>
        <v>0</v>
      </c>
      <c r="AD76" s="136"/>
      <c r="AE76" s="136"/>
      <c r="AF76" s="136"/>
      <c r="AG76" s="95">
        <f>IF(AND(AD75&lt;8,AD75&gt;=4),35,0)</f>
        <v>0</v>
      </c>
      <c r="AH76" s="136"/>
      <c r="AI76" s="136"/>
      <c r="AJ76" s="136"/>
      <c r="AK76" s="95">
        <f>IF(AND(AH75&lt;8,AH75&gt;=4),35,0)</f>
        <v>0</v>
      </c>
      <c r="AL76" s="136"/>
      <c r="AM76" s="136"/>
      <c r="AN76" s="136"/>
      <c r="AO76" s="95">
        <f>IF(AND(AL75&lt;8,AL75&gt;=4),35,0)</f>
        <v>0</v>
      </c>
      <c r="AP76" s="136"/>
      <c r="AQ76" s="136"/>
      <c r="AR76" s="136"/>
      <c r="AS76" s="95">
        <f>IF(AND(AP75&lt;8,AP75&gt;=4),35,0)</f>
        <v>0</v>
      </c>
      <c r="AT76" s="34"/>
      <c r="AU76" s="22"/>
      <c r="AV76" s="21"/>
      <c r="AY76" s="9"/>
      <c r="AZ76" s="12"/>
      <c r="BA76" s="12"/>
      <c r="BB76" s="8"/>
      <c r="BC76" s="8"/>
      <c r="BD76" s="8"/>
      <c r="BE76" s="8"/>
      <c r="BF76" s="8"/>
    </row>
    <row r="77" spans="3:58" s="5" customFormat="1" ht="18.75" customHeight="1" x14ac:dyDescent="0.2">
      <c r="C77" s="6"/>
      <c r="D77" s="175" t="s">
        <v>36</v>
      </c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26"/>
      <c r="P77" s="21"/>
      <c r="Q77" s="21"/>
      <c r="R77" s="141"/>
      <c r="S77" s="141"/>
      <c r="T77" s="141"/>
      <c r="U77" s="95">
        <f>+IF(OR(AND(R75&lt;4,R75&gt;1),R76&gt;=4),30,0)</f>
        <v>0</v>
      </c>
      <c r="V77" s="141"/>
      <c r="W77" s="141"/>
      <c r="X77" s="141"/>
      <c r="Y77" s="95">
        <f>+IF(OR(AND(V75&lt;4,V75&gt;1),V76&gt;=4),30,0)</f>
        <v>0</v>
      </c>
      <c r="Z77" s="141"/>
      <c r="AA77" s="141"/>
      <c r="AB77" s="141"/>
      <c r="AC77" s="95">
        <f>+IF(OR(AND(Z75&lt;4,Z75&gt;1),Z76&gt;=4),30,0)</f>
        <v>0</v>
      </c>
      <c r="AD77" s="141"/>
      <c r="AE77" s="141"/>
      <c r="AF77" s="141"/>
      <c r="AG77" s="95">
        <f>+IF(OR(AND(AD75&lt;4,AD75&gt;1),AD76&gt;=4),30,0)</f>
        <v>0</v>
      </c>
      <c r="AH77" s="141"/>
      <c r="AI77" s="141"/>
      <c r="AJ77" s="141"/>
      <c r="AK77" s="95">
        <f>+IF(OR(AND(AH75&lt;4,AH75&gt;1),AH76&gt;=4),30,0)</f>
        <v>0</v>
      </c>
      <c r="AL77" s="141"/>
      <c r="AM77" s="141"/>
      <c r="AN77" s="141"/>
      <c r="AO77" s="95">
        <f>+IF(OR(AND(AL75&lt;4,AL75&gt;1),AL76&gt;=4),30,0)</f>
        <v>0</v>
      </c>
      <c r="AP77" s="141"/>
      <c r="AQ77" s="141"/>
      <c r="AR77" s="141"/>
      <c r="AS77" s="95">
        <f>+IF(OR(AND(AP75&lt;4,AP75&gt;1),AP76&gt;=4),30,0)</f>
        <v>0</v>
      </c>
      <c r="AT77" s="34"/>
      <c r="AU77" s="22"/>
      <c r="AV77" s="21"/>
    </row>
    <row r="78" spans="3:58" s="5" customFormat="1" ht="2.25" customHeight="1" x14ac:dyDescent="0.2">
      <c r="C78" s="6"/>
      <c r="D78" s="103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1"/>
      <c r="Q78" s="21"/>
      <c r="R78" s="27"/>
      <c r="S78" s="27"/>
      <c r="T78" s="27"/>
      <c r="U78" s="105"/>
      <c r="V78" s="27"/>
      <c r="W78" s="27"/>
      <c r="X78" s="27"/>
      <c r="Y78" s="105"/>
      <c r="Z78" s="27"/>
      <c r="AA78" s="27"/>
      <c r="AB78" s="27"/>
      <c r="AC78" s="105"/>
      <c r="AD78" s="27"/>
      <c r="AE78" s="27"/>
      <c r="AF78" s="27"/>
      <c r="AG78" s="105"/>
      <c r="AH78" s="27"/>
      <c r="AI78" s="21"/>
      <c r="AJ78" s="21"/>
      <c r="AK78" s="105"/>
      <c r="AL78" s="27"/>
      <c r="AM78" s="21"/>
      <c r="AN78" s="21"/>
      <c r="AO78" s="105"/>
      <c r="AP78" s="27"/>
      <c r="AQ78" s="21"/>
      <c r="AR78" s="21"/>
      <c r="AS78" s="105"/>
      <c r="AT78" s="34"/>
      <c r="AU78" s="22"/>
      <c r="AV78" s="21"/>
    </row>
    <row r="79" spans="3:58" ht="15.75" customHeight="1" x14ac:dyDescent="0.2">
      <c r="C79" s="7"/>
      <c r="D79" s="177"/>
      <c r="E79" s="178"/>
      <c r="F79" s="178"/>
      <c r="G79" s="178"/>
      <c r="H79" s="178"/>
      <c r="I79" s="178"/>
      <c r="J79" s="178"/>
      <c r="K79" s="149" t="s">
        <v>14</v>
      </c>
      <c r="L79" s="149"/>
      <c r="M79" s="149"/>
      <c r="N79" s="149"/>
      <c r="O79" s="149"/>
      <c r="P79" s="39"/>
      <c r="Q79" s="39"/>
      <c r="R79" s="139">
        <f>IF(AND(U75&gt;U77,U75&gt;U77,U75&gt;U76),U75,IF(U76&gt;U77,U76,IF(AND(U77&gt;U75,U77&gt;U76),U77,IF(AND(U79&gt;U77,U79&gt;U75,U79&gt;U76),U79,0))))</f>
        <v>0</v>
      </c>
      <c r="S79" s="139"/>
      <c r="T79" s="139"/>
      <c r="U79" s="95">
        <f>+IF(AND(R75&lt;8,R77&gt;1),15,0)</f>
        <v>0</v>
      </c>
      <c r="V79" s="139">
        <f>IF(AND(Y75&gt;Y77,Y75&gt;Y79,Y75&gt;Y76),Y75,IF(AND(Y76&gt;Y77,Y76&gt;Y79),Y76,IF(AND(Y77&gt;Y75,Y77&gt;Y76),Y77,IF(AND(Y79&gt;Y77,Y79&gt;Y75,Y79&gt;Y76),Y79,0))))</f>
        <v>0</v>
      </c>
      <c r="W79" s="139"/>
      <c r="X79" s="139"/>
      <c r="Y79" s="95">
        <f>+IF(AND(V75&lt;8,V77&gt;1),15,0)</f>
        <v>0</v>
      </c>
      <c r="Z79" s="139">
        <f>IF(AND(AC75&gt;AC77,AC75&gt;AC79,AC75&gt;AC76),AC75,IF(AND(AC76&gt;AC77,AC76&gt;AC79),AC76,IF(AND(AC77&gt;AC75,AC77&gt;AC76),AC77,IF(AND(AC79&gt;AC77,AC79&gt;AC75,AC79&gt;AC76),AC79,0))))</f>
        <v>0</v>
      </c>
      <c r="AA79" s="139"/>
      <c r="AB79" s="139"/>
      <c r="AC79" s="95">
        <f>+IF(AND(Z75&lt;8,Z77&gt;1),15,0)</f>
        <v>0</v>
      </c>
      <c r="AD79" s="139">
        <f>IF(AND(AG75&gt;AG77,AG75&gt;AG79,AG75&gt;AG76),AG75,IF(AND(AG76&gt;AG77,AG76&gt;AG79),AG76,IF(AND(AG77&gt;AG75,AG77&gt;AG76),AG77,IF(AND(AG79&gt;AG77,AG79&gt;AG75,AG79&gt;AG76),AG79,0))))</f>
        <v>0</v>
      </c>
      <c r="AE79" s="139"/>
      <c r="AF79" s="139"/>
      <c r="AG79" s="95">
        <f>+IF(AND(AD75&lt;8,AD77&gt;1),15,0)</f>
        <v>0</v>
      </c>
      <c r="AH79" s="139">
        <f>IF(AND(AK75&gt;AK77,AK75&gt;AK79,AK75&gt;AK76),AK75,IF(AND(AK76&gt;AK77,AK76&gt;AK79),AK76,IF(AND(AK77&gt;AK75,AK77&gt;AK76),AK77,IF(AND(AK79&gt;AK77,AK79&gt;AK75,AK79&gt;AK76),AK79,0))))</f>
        <v>0</v>
      </c>
      <c r="AI79" s="139"/>
      <c r="AJ79" s="139"/>
      <c r="AK79" s="95">
        <f>+IF(AND(AH75&lt;8,AH77&gt;1),15,0)</f>
        <v>0</v>
      </c>
      <c r="AL79" s="139">
        <f>IF(AND(AO75&gt;AO77,AO75&gt;AO79,AO75&gt;AO76),AO75,IF(AND(AO76&gt;AO77,AO76&gt;AO79),AO76,IF(AND(AO77&gt;AO75,AO77&gt;AO76),AO77,IF(AND(AO79&gt;AO77,AO79&gt;AO75,AO79&gt;AO76),AO79,0))))</f>
        <v>0</v>
      </c>
      <c r="AM79" s="139"/>
      <c r="AN79" s="139"/>
      <c r="AO79" s="95">
        <f>+IF(AND(AL75&lt;8,AL77&gt;1),15,0)</f>
        <v>0</v>
      </c>
      <c r="AP79" s="139">
        <f>IF(AND(AS75&gt;AS77,AS75&gt;AS79,AS75&gt;AS76),AS75,IF(AND(AS76&gt;AS77,AS76&gt;AS79),AS76,IF(AND(AS77&gt;AS75,AS77&gt;AS76),AS77,IF(AND(AS79&gt;AS77,AS79&gt;AS75,AS79&gt;AS76),AS79,0))))</f>
        <v>0</v>
      </c>
      <c r="AQ79" s="139"/>
      <c r="AR79" s="139"/>
      <c r="AS79" s="95">
        <f>+IF(AND(AP75&lt;8,AP77&gt;1),15,0)</f>
        <v>0</v>
      </c>
      <c r="AT79" s="34"/>
      <c r="AU79" s="41"/>
      <c r="AV79" s="39"/>
    </row>
    <row r="80" spans="3:58" ht="4.5" customHeight="1" x14ac:dyDescent="0.2">
      <c r="C80" s="6"/>
      <c r="D80" s="59"/>
      <c r="E80" s="54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5"/>
      <c r="AU80" s="41"/>
      <c r="AV80" s="39"/>
    </row>
    <row r="81" spans="3:48" ht="3.75" customHeight="1" x14ac:dyDescent="0.2">
      <c r="C81" s="6"/>
      <c r="D81" s="21"/>
      <c r="E81" s="21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41"/>
      <c r="AV81" s="39"/>
    </row>
    <row r="82" spans="3:48" ht="2.25" customHeight="1" x14ac:dyDescent="0.2">
      <c r="C82" s="6"/>
      <c r="D82" s="56"/>
      <c r="E82" s="46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7"/>
      <c r="AU82" s="41"/>
      <c r="AV82" s="39"/>
    </row>
    <row r="83" spans="3:48" ht="15.75" customHeight="1" x14ac:dyDescent="0.2">
      <c r="C83" s="6"/>
      <c r="D83" s="137" t="s">
        <v>37</v>
      </c>
      <c r="E83" s="138"/>
      <c r="F83" s="138"/>
      <c r="G83" s="138"/>
      <c r="H83" s="138"/>
      <c r="I83" s="138"/>
      <c r="J83" s="138"/>
      <c r="K83" s="138"/>
      <c r="L83" s="138"/>
      <c r="M83" s="138"/>
      <c r="N83" s="27"/>
      <c r="O83" s="27"/>
      <c r="P83" s="27"/>
      <c r="Q83" s="27"/>
      <c r="R83" s="140" t="s">
        <v>25</v>
      </c>
      <c r="S83" s="140"/>
      <c r="T83" s="140"/>
      <c r="U83" s="140"/>
      <c r="V83" s="140"/>
      <c r="W83" s="140"/>
      <c r="X83" s="140"/>
      <c r="Y83" s="27"/>
      <c r="Z83" s="27"/>
      <c r="AA83" s="27"/>
      <c r="AB83" s="21"/>
      <c r="AC83" s="21"/>
      <c r="AD83" s="21"/>
      <c r="AE83" s="21"/>
      <c r="AF83" s="21"/>
      <c r="AG83" s="2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48"/>
      <c r="AU83" s="41"/>
      <c r="AV83" s="39"/>
    </row>
    <row r="84" spans="3:48" ht="12.75" customHeight="1" x14ac:dyDescent="0.2">
      <c r="C84" s="6"/>
      <c r="D84" s="177" t="s">
        <v>38</v>
      </c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  <c r="AA84" s="27"/>
      <c r="AB84" s="21"/>
      <c r="AC84" s="21"/>
      <c r="AD84" s="21"/>
      <c r="AE84" s="21"/>
      <c r="AF84" s="21"/>
      <c r="AG84" s="21"/>
      <c r="AH84" s="21"/>
      <c r="AI84" s="21"/>
      <c r="AJ84" s="21"/>
      <c r="AK84" s="99"/>
      <c r="AL84" s="100"/>
      <c r="AM84" s="65"/>
      <c r="AN84" s="65"/>
      <c r="AO84" s="99"/>
      <c r="AP84" s="100"/>
      <c r="AQ84" s="65"/>
      <c r="AR84" s="65"/>
      <c r="AS84" s="65"/>
      <c r="AT84" s="48"/>
      <c r="AU84" s="41"/>
      <c r="AV84" s="39"/>
    </row>
    <row r="85" spans="3:48" ht="12.75" customHeight="1" x14ac:dyDescent="0.2">
      <c r="C85" s="6"/>
      <c r="D85" s="75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1"/>
      <c r="Z85" s="21"/>
      <c r="AA85" s="27"/>
      <c r="AB85" s="27"/>
      <c r="AC85" s="27"/>
      <c r="AD85" s="27"/>
      <c r="AE85" s="76"/>
      <c r="AF85" s="27"/>
      <c r="AG85" s="27"/>
      <c r="AH85" s="27"/>
      <c r="AI85" s="27"/>
      <c r="AJ85" s="76"/>
      <c r="AK85" s="27"/>
      <c r="AL85" s="27"/>
      <c r="AM85" s="27"/>
      <c r="AN85" s="27"/>
      <c r="AO85" s="27"/>
      <c r="AP85" s="27"/>
      <c r="AQ85" s="27"/>
      <c r="AR85" s="27"/>
      <c r="AS85" s="21"/>
      <c r="AT85" s="34"/>
      <c r="AU85" s="41"/>
      <c r="AV85" s="39"/>
    </row>
    <row r="86" spans="3:48" ht="12.75" customHeight="1" x14ac:dyDescent="0.2">
      <c r="C86" s="6"/>
      <c r="D86" s="61"/>
      <c r="E86" s="27"/>
      <c r="F86" s="132" t="s">
        <v>39</v>
      </c>
      <c r="G86" s="132"/>
      <c r="H86" s="132"/>
      <c r="I86" s="132"/>
      <c r="J86" s="35"/>
      <c r="K86" s="35"/>
      <c r="L86" s="42"/>
      <c r="M86" s="35"/>
      <c r="N86" s="133" t="s">
        <v>40</v>
      </c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60"/>
      <c r="AN86" s="60"/>
      <c r="AO86" s="60"/>
      <c r="AP86" s="60"/>
      <c r="AQ86" s="60"/>
      <c r="AR86" s="60"/>
      <c r="AS86" s="21"/>
      <c r="AT86" s="34"/>
      <c r="AU86" s="41"/>
      <c r="AV86" s="39"/>
    </row>
    <row r="87" spans="3:48" ht="12.75" customHeight="1" x14ac:dyDescent="0.2">
      <c r="C87" s="6"/>
      <c r="D87" s="61"/>
      <c r="E87" s="27"/>
      <c r="F87" s="132" t="s">
        <v>41</v>
      </c>
      <c r="G87" s="132"/>
      <c r="H87" s="132"/>
      <c r="I87" s="132"/>
      <c r="J87" s="132"/>
      <c r="K87" s="132"/>
      <c r="L87" s="132"/>
      <c r="M87" s="132"/>
      <c r="N87" s="133" t="s">
        <v>42</v>
      </c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60"/>
      <c r="AN87" s="60"/>
      <c r="AO87" s="60"/>
      <c r="AP87" s="60"/>
      <c r="AQ87" s="60"/>
      <c r="AR87" s="60"/>
      <c r="AS87" s="21"/>
      <c r="AT87" s="34"/>
      <c r="AU87" s="41"/>
      <c r="AV87" s="39"/>
    </row>
    <row r="88" spans="3:48" ht="12.75" customHeight="1" x14ac:dyDescent="0.2">
      <c r="C88" s="6"/>
      <c r="D88" s="61"/>
      <c r="E88" s="27"/>
      <c r="F88" s="132" t="s">
        <v>43</v>
      </c>
      <c r="G88" s="132"/>
      <c r="H88" s="132"/>
      <c r="I88" s="132"/>
      <c r="J88" s="35"/>
      <c r="K88" s="35"/>
      <c r="L88" s="42"/>
      <c r="M88" s="35"/>
      <c r="N88" s="133" t="s">
        <v>44</v>
      </c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133"/>
      <c r="AK88" s="133"/>
      <c r="AL88" s="133"/>
      <c r="AM88" s="60"/>
      <c r="AN88" s="60"/>
      <c r="AO88" s="60"/>
      <c r="AP88" s="60"/>
      <c r="AQ88" s="60"/>
      <c r="AR88" s="60"/>
      <c r="AS88" s="21"/>
      <c r="AT88" s="34"/>
      <c r="AU88" s="41"/>
      <c r="AV88" s="39"/>
    </row>
    <row r="89" spans="3:48" ht="12.75" customHeight="1" x14ac:dyDescent="0.2">
      <c r="C89" s="6"/>
      <c r="D89" s="61"/>
      <c r="E89" s="27"/>
      <c r="F89" s="132" t="s">
        <v>45</v>
      </c>
      <c r="G89" s="132"/>
      <c r="H89" s="132"/>
      <c r="I89" s="132"/>
      <c r="J89" s="35"/>
      <c r="K89" s="35"/>
      <c r="L89" s="42"/>
      <c r="M89" s="35"/>
      <c r="N89" s="133" t="s">
        <v>46</v>
      </c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60"/>
      <c r="AN89" s="60"/>
      <c r="AO89" s="60"/>
      <c r="AP89" s="60"/>
      <c r="AQ89" s="60"/>
      <c r="AR89" s="60"/>
      <c r="AS89" s="21"/>
      <c r="AT89" s="34"/>
      <c r="AU89" s="41"/>
      <c r="AV89" s="39"/>
    </row>
    <row r="90" spans="3:48" ht="12.75" customHeight="1" x14ac:dyDescent="0.2">
      <c r="C90" s="6"/>
      <c r="D90" s="61"/>
      <c r="E90" s="27"/>
      <c r="F90" s="132" t="s">
        <v>47</v>
      </c>
      <c r="G90" s="132"/>
      <c r="H90" s="132"/>
      <c r="I90" s="132"/>
      <c r="J90" s="35"/>
      <c r="K90" s="35"/>
      <c r="L90" s="42"/>
      <c r="M90" s="35"/>
      <c r="N90" s="133" t="s">
        <v>48</v>
      </c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60"/>
      <c r="AN90" s="60"/>
      <c r="AO90" s="60"/>
      <c r="AP90" s="60"/>
      <c r="AQ90" s="60"/>
      <c r="AR90" s="60"/>
      <c r="AS90" s="21"/>
      <c r="AT90" s="34"/>
      <c r="AU90" s="41"/>
      <c r="AV90" s="39"/>
    </row>
    <row r="91" spans="3:48" ht="12.75" customHeight="1" x14ac:dyDescent="0.2">
      <c r="C91" s="6"/>
      <c r="D91" s="61"/>
      <c r="E91" s="27"/>
      <c r="F91" s="132" t="s">
        <v>49</v>
      </c>
      <c r="G91" s="132"/>
      <c r="H91" s="132"/>
      <c r="I91" s="132"/>
      <c r="J91" s="35"/>
      <c r="K91" s="35"/>
      <c r="L91" s="42"/>
      <c r="M91" s="35"/>
      <c r="N91" s="133" t="s">
        <v>50</v>
      </c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21"/>
      <c r="AT91" s="34"/>
      <c r="AU91" s="41"/>
      <c r="AV91" s="39"/>
    </row>
    <row r="92" spans="3:48" ht="12.75" customHeight="1" x14ac:dyDescent="0.2">
      <c r="C92" s="6"/>
      <c r="D92" s="61"/>
      <c r="E92" s="27"/>
      <c r="F92" s="132" t="s">
        <v>51</v>
      </c>
      <c r="G92" s="132"/>
      <c r="H92" s="132"/>
      <c r="I92" s="132"/>
      <c r="J92" s="35"/>
      <c r="K92" s="35"/>
      <c r="L92" s="42"/>
      <c r="M92" s="35"/>
      <c r="N92" s="133" t="s">
        <v>52</v>
      </c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60"/>
      <c r="AN92" s="60"/>
      <c r="AO92" s="60"/>
      <c r="AP92" s="60"/>
      <c r="AQ92" s="60"/>
      <c r="AR92" s="60"/>
      <c r="AS92" s="21"/>
      <c r="AT92" s="34"/>
      <c r="AU92" s="41"/>
      <c r="AV92" s="39"/>
    </row>
    <row r="93" spans="3:48" ht="15" customHeight="1" x14ac:dyDescent="0.2">
      <c r="C93" s="6"/>
      <c r="D93" s="61"/>
      <c r="E93" s="27"/>
      <c r="F93" s="132" t="s">
        <v>53</v>
      </c>
      <c r="G93" s="132"/>
      <c r="H93" s="132"/>
      <c r="I93" s="132"/>
      <c r="J93" s="35"/>
      <c r="K93" s="35"/>
      <c r="L93" s="42"/>
      <c r="M93" s="35"/>
      <c r="N93" s="133" t="s">
        <v>54</v>
      </c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60"/>
      <c r="AN93" s="60"/>
      <c r="AO93" s="60"/>
      <c r="AP93" s="60"/>
      <c r="AQ93" s="60"/>
      <c r="AR93" s="60"/>
      <c r="AS93" s="21"/>
      <c r="AT93" s="34"/>
      <c r="AU93" s="41"/>
      <c r="AV93" s="39"/>
    </row>
    <row r="94" spans="3:48" ht="15" customHeight="1" x14ac:dyDescent="0.2">
      <c r="C94" s="6"/>
      <c r="D94" s="61"/>
      <c r="E94" s="27"/>
      <c r="F94" s="132" t="s">
        <v>55</v>
      </c>
      <c r="G94" s="132"/>
      <c r="H94" s="132"/>
      <c r="I94" s="132"/>
      <c r="J94" s="132"/>
      <c r="K94" s="35"/>
      <c r="L94" s="42"/>
      <c r="M94" s="35"/>
      <c r="N94" s="133" t="s">
        <v>56</v>
      </c>
      <c r="O94" s="133"/>
      <c r="P94" s="133"/>
      <c r="Q94" s="133"/>
      <c r="R94" s="133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60"/>
      <c r="AN94" s="60"/>
      <c r="AO94" s="60"/>
      <c r="AP94" s="60"/>
      <c r="AQ94" s="60"/>
      <c r="AR94" s="60"/>
      <c r="AS94" s="21"/>
      <c r="AT94" s="34"/>
      <c r="AU94" s="41"/>
      <c r="AV94" s="39"/>
    </row>
    <row r="95" spans="3:48" ht="22.5" customHeight="1" x14ac:dyDescent="0.2">
      <c r="C95" s="6"/>
      <c r="D95" s="61"/>
      <c r="E95" s="27"/>
      <c r="F95" s="132" t="s">
        <v>57</v>
      </c>
      <c r="G95" s="132"/>
      <c r="H95" s="132"/>
      <c r="I95" s="132"/>
      <c r="J95" s="132"/>
      <c r="K95" s="132"/>
      <c r="L95" s="42"/>
      <c r="M95" s="35"/>
      <c r="N95" s="133" t="s">
        <v>58</v>
      </c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21"/>
      <c r="AT95" s="34"/>
      <c r="AU95" s="41"/>
      <c r="AV95" s="39"/>
    </row>
    <row r="96" spans="3:48" ht="15" customHeight="1" x14ac:dyDescent="0.2">
      <c r="C96" s="6"/>
      <c r="D96" s="61"/>
      <c r="E96" s="27"/>
      <c r="F96" s="132" t="s">
        <v>59</v>
      </c>
      <c r="G96" s="132"/>
      <c r="H96" s="132"/>
      <c r="I96" s="132"/>
      <c r="J96" s="132"/>
      <c r="K96" s="132"/>
      <c r="L96" s="42"/>
      <c r="M96" s="35"/>
      <c r="N96" s="133" t="s">
        <v>60</v>
      </c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  <c r="AC96" s="133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R96" s="133"/>
      <c r="AS96" s="21"/>
      <c r="AT96" s="34"/>
      <c r="AU96" s="41"/>
      <c r="AV96" s="39"/>
    </row>
    <row r="97" spans="3:48" ht="15" customHeight="1" x14ac:dyDescent="0.2">
      <c r="C97" s="6"/>
      <c r="D97" s="61"/>
      <c r="E97" s="27"/>
      <c r="F97" s="132" t="s">
        <v>61</v>
      </c>
      <c r="G97" s="132"/>
      <c r="H97" s="132"/>
      <c r="I97" s="132"/>
      <c r="J97" s="132"/>
      <c r="K97" s="132"/>
      <c r="L97" s="42"/>
      <c r="M97" s="35"/>
      <c r="N97" s="133" t="s">
        <v>62</v>
      </c>
      <c r="O97" s="133"/>
      <c r="P97" s="133"/>
      <c r="Q97" s="133"/>
      <c r="R97" s="133"/>
      <c r="S97" s="133"/>
      <c r="T97" s="133"/>
      <c r="U97" s="133"/>
      <c r="V97" s="133"/>
      <c r="W97" s="133"/>
      <c r="X97" s="133"/>
      <c r="Y97" s="133"/>
      <c r="Z97" s="133"/>
      <c r="AA97" s="133"/>
      <c r="AB97" s="133"/>
      <c r="AC97" s="133"/>
      <c r="AD97" s="133"/>
      <c r="AE97" s="133"/>
      <c r="AF97" s="133"/>
      <c r="AG97" s="133"/>
      <c r="AH97" s="133"/>
      <c r="AI97" s="133"/>
      <c r="AJ97" s="133"/>
      <c r="AK97" s="133"/>
      <c r="AL97" s="133"/>
      <c r="AM97" s="133"/>
      <c r="AN97" s="133"/>
      <c r="AO97" s="133"/>
      <c r="AP97" s="133"/>
      <c r="AQ97" s="133"/>
      <c r="AR97" s="133"/>
      <c r="AS97" s="133"/>
      <c r="AT97" s="34"/>
      <c r="AU97" s="41"/>
      <c r="AV97" s="39"/>
    </row>
    <row r="98" spans="3:48" ht="15" customHeight="1" x14ac:dyDescent="0.2">
      <c r="C98" s="6"/>
      <c r="D98" s="61"/>
      <c r="E98" s="27"/>
      <c r="F98" s="132" t="s">
        <v>63</v>
      </c>
      <c r="G98" s="132"/>
      <c r="H98" s="132"/>
      <c r="I98" s="132"/>
      <c r="J98" s="132"/>
      <c r="K98" s="132"/>
      <c r="L98" s="42"/>
      <c r="M98" s="35"/>
      <c r="N98" s="133" t="s">
        <v>64</v>
      </c>
      <c r="O98" s="133"/>
      <c r="P98" s="133"/>
      <c r="Q98" s="133"/>
      <c r="R98" s="133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  <c r="AC98" s="133"/>
      <c r="AD98" s="133"/>
      <c r="AE98" s="133"/>
      <c r="AF98" s="133"/>
      <c r="AG98" s="133"/>
      <c r="AH98" s="133"/>
      <c r="AI98" s="133"/>
      <c r="AJ98" s="133"/>
      <c r="AK98" s="133"/>
      <c r="AL98" s="133"/>
      <c r="AM98" s="60"/>
      <c r="AN98" s="60"/>
      <c r="AO98" s="60"/>
      <c r="AP98" s="60"/>
      <c r="AQ98" s="60"/>
      <c r="AR98" s="60"/>
      <c r="AS98" s="21"/>
      <c r="AT98" s="34"/>
      <c r="AU98" s="41"/>
      <c r="AV98" s="39"/>
    </row>
    <row r="99" spans="3:48" ht="5.25" customHeight="1" x14ac:dyDescent="0.2">
      <c r="C99" s="6"/>
      <c r="D99" s="106"/>
      <c r="E99" s="107"/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54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8"/>
      <c r="AL99" s="88"/>
      <c r="AM99" s="88"/>
      <c r="AN99" s="88"/>
      <c r="AO99" s="88"/>
      <c r="AP99" s="88"/>
      <c r="AQ99" s="88"/>
      <c r="AR99" s="88"/>
      <c r="AS99" s="54"/>
      <c r="AT99" s="55"/>
      <c r="AU99" s="41"/>
      <c r="AV99" s="39"/>
    </row>
    <row r="100" spans="3:48" ht="4.5" customHeight="1" x14ac:dyDescent="0.2">
      <c r="C100" s="6"/>
      <c r="D100" s="27"/>
      <c r="E100" s="27"/>
      <c r="F100" s="27"/>
      <c r="G100" s="27"/>
      <c r="H100" s="27"/>
      <c r="I100" s="27"/>
      <c r="J100" s="27"/>
      <c r="K100" s="27"/>
      <c r="L100" s="27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54"/>
      <c r="AS100" s="54"/>
      <c r="AT100" s="54"/>
      <c r="AU100" s="41"/>
      <c r="AV100" s="39"/>
    </row>
    <row r="101" spans="3:48" ht="24.75" customHeight="1" x14ac:dyDescent="0.2">
      <c r="C101" s="6"/>
      <c r="D101" s="61"/>
      <c r="E101" s="128" t="s">
        <v>74</v>
      </c>
      <c r="F101" s="129"/>
      <c r="G101" s="129"/>
      <c r="H101" s="129"/>
      <c r="I101" s="129"/>
      <c r="J101" s="129"/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29"/>
      <c r="V101" s="129"/>
      <c r="W101" s="129"/>
      <c r="X101" s="129"/>
      <c r="Y101" s="129"/>
      <c r="Z101" s="129"/>
      <c r="AA101" s="129"/>
      <c r="AB101" s="129"/>
      <c r="AC101" s="129"/>
      <c r="AD101" s="129"/>
      <c r="AE101" s="130"/>
      <c r="AF101" s="120"/>
      <c r="AG101" s="129" t="s">
        <v>75</v>
      </c>
      <c r="AH101" s="129"/>
      <c r="AI101" s="129"/>
      <c r="AJ101" s="129"/>
      <c r="AK101" s="129"/>
      <c r="AL101" s="129"/>
      <c r="AM101" s="129"/>
      <c r="AN101" s="129"/>
      <c r="AO101" s="129"/>
      <c r="AP101" s="129"/>
      <c r="AQ101" s="130"/>
      <c r="AR101" s="114"/>
      <c r="AS101" s="46"/>
      <c r="AT101" s="47"/>
      <c r="AU101" s="41"/>
      <c r="AV101" s="39"/>
    </row>
    <row r="102" spans="3:48" ht="15" customHeight="1" x14ac:dyDescent="0.2">
      <c r="C102" s="6"/>
      <c r="D102" s="101"/>
      <c r="E102" s="116"/>
      <c r="F102" s="117"/>
      <c r="G102" s="117"/>
      <c r="H102" s="117"/>
      <c r="I102" s="117"/>
      <c r="J102" s="117"/>
      <c r="K102" s="117"/>
      <c r="L102" s="117"/>
      <c r="M102" s="117"/>
      <c r="N102" s="32"/>
      <c r="O102" s="32"/>
      <c r="P102" s="117"/>
      <c r="Q102" s="117"/>
      <c r="R102" s="117"/>
      <c r="S102" s="118"/>
      <c r="T102" s="90"/>
      <c r="U102" s="90"/>
      <c r="V102" s="90"/>
      <c r="W102" s="90"/>
      <c r="X102" s="90"/>
      <c r="Y102" s="90"/>
      <c r="Z102" s="39"/>
      <c r="AA102" s="39"/>
      <c r="AB102" s="39"/>
      <c r="AC102" s="90"/>
      <c r="AD102" s="90"/>
      <c r="AE102" s="115"/>
      <c r="AF102" s="121"/>
      <c r="AG102" s="92"/>
      <c r="AH102" s="92"/>
      <c r="AI102" s="92"/>
      <c r="AJ102" s="39"/>
      <c r="AK102" s="39"/>
      <c r="AL102" s="39"/>
      <c r="AM102" s="39"/>
      <c r="AN102" s="39"/>
      <c r="AO102" s="39"/>
      <c r="AP102" s="39"/>
      <c r="AQ102" s="40"/>
      <c r="AR102" s="39"/>
      <c r="AS102" s="21"/>
      <c r="AT102" s="34"/>
      <c r="AU102" s="41"/>
      <c r="AV102" s="39"/>
    </row>
    <row r="103" spans="3:48" ht="18" customHeight="1" x14ac:dyDescent="0.2">
      <c r="C103" s="6"/>
      <c r="D103" s="122"/>
      <c r="E103" s="161" t="s">
        <v>2</v>
      </c>
      <c r="F103" s="149"/>
      <c r="G103" s="149"/>
      <c r="H103" s="149"/>
      <c r="I103" s="149"/>
      <c r="J103" s="149"/>
      <c r="K103" s="149"/>
      <c r="L103" s="149"/>
      <c r="M103" s="149"/>
      <c r="N103" s="149"/>
      <c r="O103" s="149"/>
      <c r="P103" s="149"/>
      <c r="Q103" s="149"/>
      <c r="R103" s="149"/>
      <c r="S103" s="184"/>
      <c r="T103" s="39"/>
      <c r="U103" s="124" t="s">
        <v>2</v>
      </c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5"/>
      <c r="AF103" s="161" t="s">
        <v>2</v>
      </c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84"/>
      <c r="AR103" s="90"/>
      <c r="AS103" s="21"/>
      <c r="AT103" s="34"/>
      <c r="AU103" s="41"/>
      <c r="AV103" s="39"/>
    </row>
    <row r="104" spans="3:48" ht="18" customHeight="1" x14ac:dyDescent="0.2">
      <c r="C104" s="6"/>
      <c r="D104" s="122"/>
      <c r="E104" s="185" t="s">
        <v>71</v>
      </c>
      <c r="F104" s="186"/>
      <c r="G104" s="186"/>
      <c r="H104" s="186"/>
      <c r="I104" s="186"/>
      <c r="J104" s="186"/>
      <c r="K104" s="186"/>
      <c r="L104" s="186"/>
      <c r="M104" s="186"/>
      <c r="N104" s="186"/>
      <c r="O104" s="186"/>
      <c r="P104" s="186"/>
      <c r="Q104" s="186"/>
      <c r="R104" s="186"/>
      <c r="S104" s="187"/>
      <c r="T104" s="44"/>
      <c r="U104" s="126" t="s">
        <v>71</v>
      </c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7"/>
      <c r="AF104" s="188" t="s">
        <v>72</v>
      </c>
      <c r="AG104" s="189"/>
      <c r="AH104" s="189"/>
      <c r="AI104" s="189"/>
      <c r="AJ104" s="189"/>
      <c r="AK104" s="189"/>
      <c r="AL104" s="189"/>
      <c r="AM104" s="189"/>
      <c r="AN104" s="189"/>
      <c r="AO104" s="189"/>
      <c r="AP104" s="189"/>
      <c r="AQ104" s="190"/>
      <c r="AR104" s="119"/>
      <c r="AS104" s="21"/>
      <c r="AT104" s="34"/>
      <c r="AU104" s="41"/>
      <c r="AV104" s="39"/>
    </row>
    <row r="105" spans="3:48" ht="31.5" customHeight="1" x14ac:dyDescent="0.2">
      <c r="C105" s="6"/>
      <c r="D105" s="108"/>
      <c r="E105" s="109"/>
      <c r="F105" s="110"/>
      <c r="G105" s="107"/>
      <c r="H105" s="107"/>
      <c r="I105" s="107"/>
      <c r="J105" s="107"/>
      <c r="K105" s="107"/>
      <c r="L105" s="107"/>
      <c r="M105" s="107"/>
      <c r="N105" s="107"/>
      <c r="O105" s="54"/>
      <c r="P105" s="110"/>
      <c r="Q105" s="111"/>
      <c r="R105" s="110"/>
      <c r="S105" s="109"/>
      <c r="T105" s="109"/>
      <c r="U105" s="112"/>
      <c r="V105" s="112"/>
      <c r="W105" s="112"/>
      <c r="X105" s="112"/>
      <c r="Y105" s="112"/>
      <c r="Z105" s="112"/>
      <c r="AA105" s="112"/>
      <c r="AB105" s="50"/>
      <c r="AC105" s="109"/>
      <c r="AD105" s="109"/>
      <c r="AE105" s="110"/>
      <c r="AF105" s="107"/>
      <c r="AG105" s="107"/>
      <c r="AH105" s="107"/>
      <c r="AI105" s="107"/>
      <c r="AJ105" s="50"/>
      <c r="AK105" s="50"/>
      <c r="AL105" s="50"/>
      <c r="AM105" s="50"/>
      <c r="AN105" s="50"/>
      <c r="AO105" s="50"/>
      <c r="AP105" s="50"/>
      <c r="AQ105" s="50"/>
      <c r="AR105" s="50"/>
      <c r="AS105" s="54"/>
      <c r="AT105" s="55"/>
      <c r="AU105" s="41"/>
      <c r="AV105" s="39"/>
    </row>
    <row r="106" spans="3:48" ht="8.25" customHeight="1" thickBot="1" x14ac:dyDescent="0.25">
      <c r="C106" s="10"/>
      <c r="D106" s="113"/>
      <c r="E106" s="113"/>
      <c r="F106" s="113"/>
      <c r="G106" s="113"/>
      <c r="H106" s="113"/>
      <c r="I106" s="113"/>
      <c r="J106" s="113"/>
      <c r="K106" s="113"/>
      <c r="L106" s="113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3"/>
      <c r="AV106" s="39"/>
    </row>
    <row r="107" spans="3:48" ht="13.5" x14ac:dyDescent="0.2">
      <c r="D107" s="64"/>
      <c r="E107" s="64"/>
      <c r="F107" s="64"/>
      <c r="G107" s="64"/>
      <c r="H107" s="64"/>
      <c r="I107" s="64"/>
      <c r="J107" s="64"/>
      <c r="K107" s="64"/>
      <c r="L107" s="64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</row>
    <row r="108" spans="3:48" ht="14.25" x14ac:dyDescent="0.2">
      <c r="D108" s="20"/>
      <c r="E108" s="20"/>
      <c r="F108" s="20"/>
      <c r="G108" s="20"/>
      <c r="H108" s="20"/>
      <c r="I108" s="20"/>
      <c r="J108" s="20"/>
      <c r="K108" s="20"/>
      <c r="L108" s="20"/>
    </row>
    <row r="109" spans="3:48" ht="14.25" x14ac:dyDescent="0.2">
      <c r="D109" s="20"/>
      <c r="E109" s="20"/>
      <c r="F109" s="20"/>
      <c r="G109" s="20"/>
      <c r="H109" s="20"/>
      <c r="I109" s="20"/>
      <c r="J109" s="20"/>
      <c r="K109" s="20"/>
      <c r="L109" s="20"/>
    </row>
    <row r="110" spans="3:48" ht="14.25" x14ac:dyDescent="0.2">
      <c r="D110" s="20"/>
      <c r="E110" s="20"/>
      <c r="F110" s="20"/>
      <c r="G110" s="20"/>
      <c r="H110" s="20"/>
      <c r="I110" s="20"/>
      <c r="J110" s="20"/>
      <c r="K110" s="20"/>
      <c r="L110" s="20"/>
    </row>
    <row r="111" spans="3:48" ht="14.25" x14ac:dyDescent="0.2">
      <c r="D111" s="20"/>
      <c r="E111" s="20"/>
      <c r="F111" s="20"/>
      <c r="G111" s="20"/>
      <c r="H111" s="20"/>
      <c r="I111" s="20"/>
      <c r="J111" s="20"/>
      <c r="K111" s="20"/>
      <c r="L111" s="20"/>
    </row>
    <row r="112" spans="3:48" ht="14.25" x14ac:dyDescent="0.2">
      <c r="D112" s="20"/>
      <c r="E112" s="20"/>
      <c r="F112" s="20"/>
      <c r="G112" s="20"/>
      <c r="H112" s="20"/>
      <c r="I112" s="20"/>
      <c r="J112" s="20"/>
      <c r="K112" s="20"/>
      <c r="L112" s="20"/>
    </row>
    <row r="113" spans="4:12" ht="14.25" x14ac:dyDescent="0.2">
      <c r="D113" s="20"/>
      <c r="E113" s="20"/>
      <c r="F113" s="20"/>
      <c r="G113" s="20"/>
      <c r="H113" s="20"/>
      <c r="I113" s="20"/>
      <c r="J113" s="20"/>
      <c r="K113" s="20"/>
      <c r="L113" s="20"/>
    </row>
    <row r="114" spans="4:12" ht="14.25" x14ac:dyDescent="0.2">
      <c r="D114" s="20"/>
      <c r="E114" s="20"/>
      <c r="F114" s="20"/>
      <c r="G114" s="20"/>
      <c r="H114" s="20"/>
      <c r="I114" s="20"/>
      <c r="J114" s="20"/>
      <c r="K114" s="20"/>
      <c r="L114" s="20"/>
    </row>
    <row r="115" spans="4:12" ht="14.25" x14ac:dyDescent="0.2">
      <c r="D115" s="20"/>
      <c r="E115" s="20"/>
      <c r="F115" s="20"/>
      <c r="G115" s="20"/>
      <c r="H115" s="20"/>
      <c r="I115" s="20"/>
      <c r="J115" s="20"/>
      <c r="K115" s="20"/>
      <c r="L115" s="20"/>
    </row>
    <row r="116" spans="4:12" ht="14.25" x14ac:dyDescent="0.2">
      <c r="D116" s="20"/>
      <c r="E116" s="20"/>
      <c r="F116" s="20"/>
      <c r="G116" s="20"/>
      <c r="H116" s="20"/>
      <c r="I116" s="20"/>
      <c r="J116" s="20"/>
      <c r="K116" s="20"/>
      <c r="L116" s="20"/>
    </row>
    <row r="117" spans="4:12" ht="14.25" x14ac:dyDescent="0.2">
      <c r="D117" s="20"/>
      <c r="E117" s="20"/>
      <c r="F117" s="20"/>
      <c r="G117" s="20"/>
      <c r="H117" s="20"/>
      <c r="I117" s="20"/>
      <c r="J117" s="20"/>
      <c r="K117" s="20"/>
      <c r="L117" s="20"/>
    </row>
    <row r="118" spans="4:12" ht="14.25" x14ac:dyDescent="0.2">
      <c r="D118" s="20"/>
      <c r="E118" s="20"/>
      <c r="F118" s="20"/>
      <c r="G118" s="20"/>
      <c r="H118" s="20"/>
      <c r="I118" s="20"/>
      <c r="J118" s="20"/>
      <c r="K118" s="20"/>
      <c r="L118" s="20"/>
    </row>
    <row r="119" spans="4:12" ht="14.25" x14ac:dyDescent="0.2">
      <c r="D119" s="20"/>
      <c r="E119" s="20"/>
      <c r="F119" s="20"/>
      <c r="G119" s="20"/>
      <c r="H119" s="20"/>
      <c r="I119" s="20"/>
      <c r="J119" s="20"/>
      <c r="K119" s="20"/>
      <c r="L119" s="20"/>
    </row>
    <row r="120" spans="4:12" ht="14.25" x14ac:dyDescent="0.2">
      <c r="D120" s="20"/>
      <c r="E120" s="20"/>
      <c r="F120" s="20"/>
      <c r="G120" s="20"/>
      <c r="H120" s="20"/>
      <c r="I120" s="20"/>
      <c r="J120" s="20"/>
      <c r="K120" s="20"/>
      <c r="L120" s="20"/>
    </row>
    <row r="121" spans="4:12" ht="14.25" x14ac:dyDescent="0.2">
      <c r="D121" s="20"/>
      <c r="E121" s="20"/>
      <c r="F121" s="20"/>
      <c r="G121" s="20"/>
      <c r="H121" s="20"/>
      <c r="I121" s="20"/>
      <c r="J121" s="20"/>
      <c r="K121" s="20"/>
      <c r="L121" s="20"/>
    </row>
    <row r="122" spans="4:12" ht="15" customHeight="1" x14ac:dyDescent="0.2">
      <c r="D122" s="20"/>
      <c r="E122" s="20"/>
      <c r="F122" s="20"/>
      <c r="G122" s="20"/>
      <c r="H122" s="20"/>
      <c r="I122" s="20"/>
      <c r="J122" s="20"/>
      <c r="K122" s="20"/>
      <c r="L122" s="20"/>
    </row>
    <row r="123" spans="4:12" ht="15" customHeight="1" x14ac:dyDescent="0.2">
      <c r="D123" s="20"/>
      <c r="E123" s="20"/>
      <c r="F123" s="20"/>
      <c r="G123" s="20"/>
      <c r="H123" s="20"/>
      <c r="I123" s="20"/>
      <c r="J123" s="20"/>
      <c r="K123" s="20"/>
      <c r="L123" s="20"/>
    </row>
    <row r="124" spans="4:12" ht="15" customHeight="1" x14ac:dyDescent="0.2">
      <c r="D124" s="20"/>
      <c r="E124" s="20"/>
      <c r="F124" s="20"/>
      <c r="G124" s="20"/>
      <c r="H124" s="20"/>
      <c r="I124" s="20"/>
      <c r="J124" s="20"/>
      <c r="K124" s="20"/>
      <c r="L124" s="20"/>
    </row>
    <row r="125" spans="4:12" ht="15" customHeight="1" x14ac:dyDescent="0.2">
      <c r="D125" s="20"/>
      <c r="E125" s="20"/>
      <c r="F125" s="20"/>
      <c r="G125" s="20"/>
      <c r="H125" s="20"/>
      <c r="I125" s="20"/>
      <c r="J125" s="20"/>
      <c r="K125" s="20"/>
      <c r="L125" s="20"/>
    </row>
    <row r="126" spans="4:12" ht="15" customHeight="1" x14ac:dyDescent="0.2">
      <c r="D126" s="20"/>
      <c r="E126" s="20"/>
      <c r="F126" s="20"/>
      <c r="G126" s="20"/>
      <c r="H126" s="20"/>
      <c r="I126" s="20"/>
      <c r="J126" s="20"/>
      <c r="K126" s="20"/>
      <c r="L126" s="20"/>
    </row>
    <row r="127" spans="4:12" ht="14.25" x14ac:dyDescent="0.2">
      <c r="D127" s="20"/>
      <c r="E127" s="20"/>
      <c r="F127" s="20"/>
      <c r="G127" s="20"/>
      <c r="H127" s="20"/>
      <c r="I127" s="20"/>
      <c r="J127" s="20"/>
      <c r="K127" s="20"/>
      <c r="L127" s="20"/>
    </row>
    <row r="128" spans="4:12" ht="14.25" x14ac:dyDescent="0.2">
      <c r="D128" s="20"/>
      <c r="E128" s="20"/>
      <c r="F128" s="20"/>
      <c r="G128" s="20"/>
      <c r="H128" s="20"/>
      <c r="I128" s="20"/>
      <c r="J128" s="20"/>
      <c r="K128" s="20"/>
      <c r="L128" s="20"/>
    </row>
    <row r="129" spans="4:12" ht="14.25" x14ac:dyDescent="0.2">
      <c r="D129" s="20"/>
      <c r="E129" s="20"/>
      <c r="F129" s="20"/>
      <c r="G129" s="20"/>
      <c r="H129" s="20"/>
      <c r="I129" s="20"/>
      <c r="J129" s="20"/>
      <c r="K129" s="20"/>
      <c r="L129" s="20"/>
    </row>
    <row r="130" spans="4:12" ht="14.25" x14ac:dyDescent="0.2">
      <c r="D130" s="20"/>
      <c r="E130" s="20"/>
      <c r="F130" s="20"/>
      <c r="G130" s="20"/>
      <c r="H130" s="20"/>
      <c r="I130" s="20"/>
      <c r="J130" s="20"/>
      <c r="K130" s="20"/>
      <c r="L130" s="20"/>
    </row>
    <row r="131" spans="4:12" ht="14.25" x14ac:dyDescent="0.2">
      <c r="D131" s="20"/>
      <c r="E131" s="20"/>
      <c r="F131" s="20"/>
      <c r="G131" s="20"/>
      <c r="H131" s="20"/>
      <c r="I131" s="20"/>
      <c r="J131" s="20"/>
      <c r="K131" s="20"/>
      <c r="L131" s="20"/>
    </row>
    <row r="132" spans="4:12" ht="14.25" x14ac:dyDescent="0.2">
      <c r="D132" s="20"/>
      <c r="E132" s="20"/>
      <c r="F132" s="20"/>
      <c r="G132" s="20"/>
      <c r="H132" s="20"/>
      <c r="I132" s="20"/>
      <c r="J132" s="20"/>
      <c r="K132" s="20"/>
      <c r="L132" s="20"/>
    </row>
    <row r="133" spans="4:12" ht="14.25" x14ac:dyDescent="0.2">
      <c r="D133" s="20"/>
      <c r="E133" s="20"/>
      <c r="F133" s="20"/>
      <c r="G133" s="20"/>
      <c r="H133" s="20"/>
      <c r="I133" s="20"/>
      <c r="J133" s="20"/>
      <c r="K133" s="20"/>
      <c r="L133" s="20"/>
    </row>
    <row r="134" spans="4:12" ht="14.25" x14ac:dyDescent="0.2">
      <c r="D134" s="20"/>
      <c r="E134" s="20"/>
      <c r="F134" s="20"/>
      <c r="G134" s="20"/>
      <c r="H134" s="20"/>
      <c r="I134" s="20"/>
      <c r="J134" s="20"/>
      <c r="K134" s="20"/>
      <c r="L134" s="20"/>
    </row>
    <row r="135" spans="4:12" ht="14.25" x14ac:dyDescent="0.2">
      <c r="D135" s="20"/>
      <c r="E135" s="20"/>
      <c r="F135" s="20"/>
      <c r="G135" s="20"/>
      <c r="H135" s="20"/>
      <c r="I135" s="20"/>
      <c r="J135" s="20"/>
      <c r="K135" s="20"/>
      <c r="L135" s="20"/>
    </row>
    <row r="136" spans="4:12" ht="14.25" x14ac:dyDescent="0.2">
      <c r="D136" s="20"/>
      <c r="E136" s="20"/>
      <c r="F136" s="20"/>
      <c r="G136" s="20"/>
      <c r="H136" s="20"/>
      <c r="I136" s="20"/>
      <c r="J136" s="20"/>
      <c r="K136" s="20"/>
      <c r="L136" s="20"/>
    </row>
    <row r="137" spans="4:12" ht="15" customHeight="1" x14ac:dyDescent="0.2">
      <c r="D137" s="20"/>
      <c r="E137" s="20"/>
      <c r="F137" s="20"/>
      <c r="G137" s="20"/>
      <c r="H137" s="20"/>
      <c r="I137" s="20"/>
      <c r="J137" s="20"/>
      <c r="K137" s="20"/>
      <c r="L137" s="20"/>
    </row>
    <row r="138" spans="4:12" ht="15" customHeight="1" x14ac:dyDescent="0.2">
      <c r="D138" s="20"/>
      <c r="E138" s="20"/>
      <c r="F138" s="20"/>
      <c r="G138" s="20"/>
      <c r="H138" s="20"/>
      <c r="I138" s="20"/>
      <c r="J138" s="20"/>
      <c r="K138" s="20"/>
      <c r="L138" s="20"/>
    </row>
    <row r="139" spans="4:12" ht="15" customHeight="1" x14ac:dyDescent="0.2">
      <c r="D139" s="20"/>
      <c r="E139" s="20"/>
      <c r="F139" s="20"/>
      <c r="G139" s="20"/>
      <c r="H139" s="20"/>
      <c r="I139" s="20"/>
      <c r="J139" s="20"/>
      <c r="K139" s="20"/>
      <c r="L139" s="20"/>
    </row>
    <row r="140" spans="4:12" ht="15" customHeight="1" x14ac:dyDescent="0.2">
      <c r="D140" s="20"/>
      <c r="E140" s="20"/>
      <c r="F140" s="20"/>
      <c r="G140" s="20"/>
      <c r="H140" s="20"/>
      <c r="I140" s="20"/>
      <c r="J140" s="20"/>
      <c r="K140" s="20"/>
      <c r="L140" s="20"/>
    </row>
    <row r="141" spans="4:12" ht="15" customHeight="1" x14ac:dyDescent="0.2">
      <c r="D141" s="20"/>
      <c r="E141" s="20"/>
      <c r="F141" s="20"/>
      <c r="G141" s="20"/>
      <c r="H141" s="20"/>
      <c r="I141" s="20"/>
      <c r="J141" s="20"/>
      <c r="K141" s="20"/>
      <c r="L141" s="20"/>
    </row>
    <row r="142" spans="4:12" ht="15" customHeight="1" x14ac:dyDescent="0.2">
      <c r="D142" s="20"/>
      <c r="E142" s="20"/>
      <c r="F142" s="20"/>
      <c r="G142" s="20"/>
      <c r="H142" s="20"/>
      <c r="I142" s="20"/>
      <c r="J142" s="20"/>
      <c r="K142" s="20"/>
      <c r="L142" s="20"/>
    </row>
    <row r="143" spans="4:12" ht="14.25" x14ac:dyDescent="0.2">
      <c r="D143" s="20"/>
      <c r="E143" s="20"/>
      <c r="F143" s="20"/>
      <c r="G143" s="20"/>
      <c r="H143" s="20"/>
      <c r="I143" s="20"/>
      <c r="J143" s="20"/>
      <c r="K143" s="20"/>
      <c r="L143" s="20"/>
    </row>
    <row r="144" spans="4:12" ht="14.25" x14ac:dyDescent="0.2">
      <c r="D144" s="20"/>
      <c r="E144" s="20"/>
      <c r="F144" s="20"/>
      <c r="G144" s="20"/>
      <c r="H144" s="20"/>
      <c r="I144" s="20"/>
      <c r="J144" s="20"/>
      <c r="K144" s="20"/>
      <c r="L144" s="20"/>
    </row>
    <row r="145" spans="4:12" ht="14.25" x14ac:dyDescent="0.2">
      <c r="D145" s="20"/>
      <c r="E145" s="20"/>
      <c r="F145" s="20"/>
      <c r="G145" s="20"/>
      <c r="H145" s="20"/>
      <c r="I145" s="20"/>
      <c r="J145" s="20"/>
      <c r="K145" s="20"/>
      <c r="L145" s="20"/>
    </row>
    <row r="146" spans="4:12" ht="14.25" x14ac:dyDescent="0.2">
      <c r="D146" s="20"/>
      <c r="E146" s="20"/>
      <c r="F146" s="20"/>
      <c r="G146" s="20"/>
      <c r="H146" s="20"/>
      <c r="I146" s="20"/>
      <c r="J146" s="20"/>
      <c r="K146" s="20"/>
      <c r="L146" s="20"/>
    </row>
    <row r="147" spans="4:12" ht="14.25" x14ac:dyDescent="0.2">
      <c r="D147" s="20"/>
      <c r="E147" s="20"/>
      <c r="F147" s="20"/>
      <c r="G147" s="20"/>
      <c r="H147" s="20"/>
      <c r="I147" s="20"/>
      <c r="J147" s="20"/>
      <c r="K147" s="20"/>
      <c r="L147" s="20"/>
    </row>
    <row r="148" spans="4:12" ht="14.25" x14ac:dyDescent="0.2">
      <c r="D148" s="20"/>
      <c r="E148" s="20"/>
      <c r="F148" s="20"/>
      <c r="G148" s="20"/>
      <c r="H148" s="20"/>
      <c r="I148" s="20"/>
      <c r="J148" s="20"/>
      <c r="K148" s="20"/>
      <c r="L148" s="20"/>
    </row>
    <row r="149" spans="4:12" ht="15" customHeight="1" x14ac:dyDescent="0.2">
      <c r="D149" s="20"/>
      <c r="E149" s="20"/>
      <c r="F149" s="20"/>
      <c r="G149" s="20"/>
      <c r="H149" s="20"/>
      <c r="I149" s="20"/>
      <c r="J149" s="20"/>
      <c r="K149" s="20"/>
      <c r="L149" s="20"/>
    </row>
    <row r="150" spans="4:12" ht="15" customHeight="1" x14ac:dyDescent="0.2">
      <c r="D150" s="20"/>
      <c r="E150" s="20"/>
      <c r="F150" s="20"/>
      <c r="G150" s="20"/>
      <c r="H150" s="20"/>
      <c r="I150" s="20"/>
      <c r="J150" s="20"/>
      <c r="K150" s="20"/>
      <c r="L150" s="20"/>
    </row>
    <row r="151" spans="4:12" ht="15" customHeight="1" x14ac:dyDescent="0.2">
      <c r="D151" s="20"/>
      <c r="E151" s="20"/>
      <c r="F151" s="20"/>
      <c r="G151" s="20"/>
      <c r="H151" s="20"/>
      <c r="I151" s="20"/>
      <c r="J151" s="20"/>
      <c r="K151" s="20"/>
      <c r="L151" s="20"/>
    </row>
    <row r="152" spans="4:12" ht="15" customHeight="1" x14ac:dyDescent="0.2">
      <c r="D152" s="20"/>
      <c r="E152" s="20"/>
      <c r="F152" s="20"/>
      <c r="G152" s="20"/>
      <c r="H152" s="20"/>
      <c r="I152" s="20"/>
      <c r="J152" s="20"/>
      <c r="K152" s="20"/>
      <c r="L152" s="20"/>
    </row>
    <row r="153" spans="4:12" ht="15" customHeight="1" x14ac:dyDescent="0.2">
      <c r="D153" s="20"/>
      <c r="E153" s="20"/>
      <c r="F153" s="20"/>
      <c r="G153" s="20"/>
      <c r="H153" s="20"/>
      <c r="I153" s="20"/>
      <c r="J153" s="20"/>
      <c r="K153" s="20"/>
      <c r="L153" s="20"/>
    </row>
    <row r="154" spans="4:12" ht="15" customHeight="1" x14ac:dyDescent="0.2">
      <c r="D154" s="20"/>
      <c r="E154" s="20"/>
      <c r="F154" s="20"/>
      <c r="G154" s="20"/>
      <c r="H154" s="20"/>
      <c r="I154" s="20"/>
      <c r="J154" s="20"/>
      <c r="K154" s="20"/>
      <c r="L154" s="20"/>
    </row>
    <row r="155" spans="4:12" ht="15" customHeight="1" x14ac:dyDescent="0.2">
      <c r="D155" s="20"/>
      <c r="E155" s="20"/>
      <c r="F155" s="20"/>
      <c r="G155" s="20"/>
      <c r="H155" s="20"/>
      <c r="I155" s="20"/>
      <c r="J155" s="20"/>
      <c r="K155" s="20"/>
      <c r="L155" s="20"/>
    </row>
    <row r="156" spans="4:12" ht="15" customHeight="1" x14ac:dyDescent="0.2">
      <c r="D156" s="20"/>
      <c r="E156" s="20"/>
      <c r="F156" s="20"/>
      <c r="G156" s="20"/>
      <c r="H156" s="20"/>
      <c r="I156" s="20"/>
      <c r="J156" s="20"/>
      <c r="K156" s="20"/>
      <c r="L156" s="20"/>
    </row>
    <row r="157" spans="4:12" ht="14.25" x14ac:dyDescent="0.2">
      <c r="D157" s="20"/>
      <c r="E157" s="20"/>
      <c r="F157" s="20"/>
      <c r="G157" s="20"/>
      <c r="H157" s="20"/>
      <c r="I157" s="20"/>
      <c r="J157" s="20"/>
      <c r="K157" s="20"/>
      <c r="L157" s="20"/>
    </row>
    <row r="158" spans="4:12" ht="14.25" x14ac:dyDescent="0.2">
      <c r="D158" s="20"/>
      <c r="E158" s="20"/>
      <c r="F158" s="20"/>
      <c r="G158" s="20"/>
      <c r="H158" s="20"/>
      <c r="I158" s="20"/>
      <c r="J158" s="20"/>
      <c r="K158" s="20"/>
      <c r="L158" s="20"/>
    </row>
    <row r="159" spans="4:12" ht="14.25" x14ac:dyDescent="0.2">
      <c r="D159" s="20"/>
      <c r="E159" s="20"/>
      <c r="F159" s="20"/>
      <c r="G159" s="20"/>
      <c r="H159" s="20"/>
      <c r="I159" s="20"/>
      <c r="J159" s="20"/>
      <c r="K159" s="20"/>
      <c r="L159" s="20"/>
    </row>
    <row r="160" spans="4:12" ht="14.25" x14ac:dyDescent="0.2">
      <c r="D160" s="20"/>
      <c r="E160" s="20"/>
      <c r="F160" s="20"/>
      <c r="G160" s="20"/>
      <c r="H160" s="20"/>
      <c r="I160" s="20"/>
      <c r="J160" s="20"/>
      <c r="K160" s="20"/>
      <c r="L160" s="20"/>
    </row>
    <row r="161" spans="4:12" ht="14.25" x14ac:dyDescent="0.2">
      <c r="D161" s="20"/>
      <c r="E161" s="20"/>
      <c r="F161" s="20"/>
      <c r="G161" s="20"/>
      <c r="H161" s="20"/>
      <c r="I161" s="20"/>
      <c r="J161" s="20"/>
      <c r="K161" s="20"/>
      <c r="L161" s="20"/>
    </row>
    <row r="162" spans="4:12" ht="14.25" x14ac:dyDescent="0.2">
      <c r="D162" s="20"/>
      <c r="E162" s="20"/>
      <c r="F162" s="20"/>
      <c r="G162" s="20"/>
      <c r="H162" s="20"/>
      <c r="I162" s="20"/>
      <c r="J162" s="20"/>
      <c r="K162" s="20"/>
      <c r="L162" s="20"/>
    </row>
    <row r="163" spans="4:12" ht="14.25" x14ac:dyDescent="0.2">
      <c r="D163" s="20"/>
      <c r="E163" s="20"/>
      <c r="F163" s="20"/>
      <c r="G163" s="20"/>
      <c r="H163" s="20"/>
      <c r="I163" s="20"/>
      <c r="J163" s="20"/>
      <c r="K163" s="20"/>
      <c r="L163" s="20"/>
    </row>
    <row r="164" spans="4:12" ht="14.25" x14ac:dyDescent="0.2">
      <c r="D164" s="20"/>
      <c r="E164" s="20"/>
      <c r="F164" s="20"/>
      <c r="G164" s="20"/>
      <c r="H164" s="20"/>
      <c r="I164" s="20"/>
      <c r="J164" s="20"/>
      <c r="K164" s="20"/>
      <c r="L164" s="20"/>
    </row>
    <row r="165" spans="4:12" ht="14.25" x14ac:dyDescent="0.2">
      <c r="D165" s="20"/>
      <c r="E165" s="20"/>
      <c r="F165" s="20"/>
      <c r="G165" s="20"/>
      <c r="H165" s="20"/>
      <c r="I165" s="20"/>
      <c r="J165" s="20"/>
      <c r="K165" s="20"/>
      <c r="L165" s="20"/>
    </row>
    <row r="166" spans="4:12" ht="14.25" x14ac:dyDescent="0.2">
      <c r="D166" s="20"/>
      <c r="E166" s="20"/>
      <c r="F166" s="20"/>
      <c r="G166" s="20"/>
      <c r="H166" s="20"/>
      <c r="I166" s="20"/>
      <c r="J166" s="20"/>
      <c r="K166" s="20"/>
      <c r="L166" s="20"/>
    </row>
    <row r="167" spans="4:12" ht="15" customHeight="1" x14ac:dyDescent="0.2">
      <c r="D167" s="20"/>
      <c r="E167" s="20"/>
      <c r="F167" s="20"/>
      <c r="G167" s="20"/>
      <c r="H167" s="20"/>
      <c r="I167" s="20"/>
      <c r="J167" s="20"/>
      <c r="K167" s="20"/>
      <c r="L167" s="20"/>
    </row>
    <row r="168" spans="4:12" ht="15" customHeight="1" x14ac:dyDescent="0.2">
      <c r="D168" s="20"/>
      <c r="E168" s="20"/>
      <c r="F168" s="20"/>
      <c r="G168" s="20"/>
      <c r="H168" s="20"/>
      <c r="I168" s="20"/>
      <c r="J168" s="20"/>
      <c r="K168" s="20"/>
      <c r="L168" s="20"/>
    </row>
    <row r="169" spans="4:12" ht="15" customHeight="1" x14ac:dyDescent="0.2">
      <c r="D169" s="20"/>
      <c r="E169" s="20"/>
      <c r="F169" s="20"/>
      <c r="G169" s="20"/>
      <c r="H169" s="20"/>
      <c r="I169" s="20"/>
      <c r="J169" s="20"/>
      <c r="K169" s="20"/>
      <c r="L169" s="20"/>
    </row>
    <row r="170" spans="4:12" ht="15" customHeight="1" x14ac:dyDescent="0.2">
      <c r="D170" s="20"/>
      <c r="E170" s="20"/>
      <c r="F170" s="20"/>
      <c r="G170" s="20"/>
      <c r="H170" s="20"/>
      <c r="I170" s="20"/>
      <c r="J170" s="20"/>
      <c r="K170" s="20"/>
      <c r="L170" s="20"/>
    </row>
    <row r="171" spans="4:12" ht="15" customHeight="1" x14ac:dyDescent="0.2">
      <c r="D171" s="20"/>
      <c r="E171" s="20"/>
      <c r="F171" s="20"/>
      <c r="G171" s="20"/>
      <c r="H171" s="20"/>
      <c r="I171" s="20"/>
      <c r="J171" s="20"/>
      <c r="K171" s="20"/>
      <c r="L171" s="20"/>
    </row>
    <row r="172" spans="4:12" ht="15" customHeight="1" x14ac:dyDescent="0.2">
      <c r="D172" s="20"/>
      <c r="E172" s="20"/>
      <c r="F172" s="20"/>
      <c r="G172" s="20"/>
      <c r="H172" s="20"/>
      <c r="I172" s="20"/>
      <c r="J172" s="20"/>
      <c r="K172" s="20"/>
      <c r="L172" s="20"/>
    </row>
    <row r="173" spans="4:12" ht="14.25" x14ac:dyDescent="0.2">
      <c r="D173" s="20"/>
      <c r="E173" s="20"/>
      <c r="F173" s="20"/>
      <c r="G173" s="20"/>
      <c r="H173" s="20"/>
      <c r="I173" s="20"/>
      <c r="J173" s="20"/>
      <c r="K173" s="20"/>
      <c r="L173" s="20"/>
    </row>
    <row r="174" spans="4:12" ht="14.25" x14ac:dyDescent="0.2">
      <c r="D174" s="20"/>
      <c r="E174" s="20"/>
      <c r="F174" s="20"/>
      <c r="G174" s="20"/>
      <c r="H174" s="20"/>
      <c r="I174" s="20"/>
      <c r="J174" s="20"/>
      <c r="K174" s="20"/>
      <c r="L174" s="20"/>
    </row>
    <row r="175" spans="4:12" ht="14.25" x14ac:dyDescent="0.2">
      <c r="D175" s="20"/>
      <c r="E175" s="20"/>
      <c r="F175" s="20"/>
      <c r="G175" s="20"/>
      <c r="H175" s="20"/>
      <c r="I175" s="20"/>
      <c r="J175" s="20"/>
      <c r="K175" s="20"/>
      <c r="L175" s="20"/>
    </row>
    <row r="176" spans="4:12" ht="14.25" x14ac:dyDescent="0.2">
      <c r="D176" s="20"/>
      <c r="E176" s="20"/>
      <c r="F176" s="20"/>
      <c r="G176" s="20"/>
      <c r="H176" s="20"/>
      <c r="I176" s="20"/>
      <c r="J176" s="20"/>
      <c r="K176" s="20"/>
      <c r="L176" s="20"/>
    </row>
    <row r="177" spans="4:12" ht="14.25" x14ac:dyDescent="0.2">
      <c r="D177" s="20"/>
      <c r="E177" s="20"/>
      <c r="F177" s="20"/>
      <c r="G177" s="20"/>
      <c r="H177" s="20"/>
      <c r="I177" s="20"/>
      <c r="J177" s="20"/>
      <c r="K177" s="20"/>
      <c r="L177" s="20"/>
    </row>
    <row r="178" spans="4:12" ht="14.25" x14ac:dyDescent="0.2">
      <c r="D178" s="20"/>
      <c r="E178" s="20"/>
      <c r="F178" s="20"/>
      <c r="G178" s="20"/>
      <c r="H178" s="20"/>
      <c r="I178" s="20"/>
      <c r="J178" s="20"/>
      <c r="K178" s="20"/>
      <c r="L178" s="20"/>
    </row>
    <row r="179" spans="4:12" ht="14.25" x14ac:dyDescent="0.2">
      <c r="D179" s="20"/>
      <c r="E179" s="20"/>
      <c r="F179" s="20"/>
      <c r="G179" s="20"/>
      <c r="H179" s="20"/>
      <c r="I179" s="20"/>
      <c r="J179" s="20"/>
      <c r="K179" s="20"/>
      <c r="L179" s="20"/>
    </row>
    <row r="180" spans="4:12" ht="14.25" x14ac:dyDescent="0.2">
      <c r="D180" s="20"/>
      <c r="E180" s="20"/>
      <c r="F180" s="20"/>
      <c r="G180" s="20"/>
      <c r="H180" s="20"/>
      <c r="I180" s="20"/>
      <c r="J180" s="20"/>
      <c r="K180" s="20"/>
      <c r="L180" s="20"/>
    </row>
    <row r="181" spans="4:12" ht="14.25" x14ac:dyDescent="0.2">
      <c r="D181" s="20"/>
      <c r="E181" s="20"/>
      <c r="F181" s="20"/>
      <c r="G181" s="20"/>
      <c r="H181" s="20"/>
      <c r="I181" s="20"/>
      <c r="J181" s="20"/>
      <c r="K181" s="20"/>
      <c r="L181" s="20"/>
    </row>
    <row r="182" spans="4:12" ht="14.25" x14ac:dyDescent="0.2">
      <c r="D182" s="20"/>
      <c r="E182" s="20"/>
      <c r="F182" s="20"/>
      <c r="G182" s="20"/>
      <c r="H182" s="20"/>
      <c r="I182" s="20"/>
      <c r="J182" s="20"/>
      <c r="K182" s="20"/>
      <c r="L182" s="20"/>
    </row>
    <row r="183" spans="4:12" ht="14.25" x14ac:dyDescent="0.2">
      <c r="D183" s="20"/>
      <c r="E183" s="20"/>
      <c r="F183" s="20"/>
      <c r="G183" s="20"/>
      <c r="H183" s="20"/>
      <c r="I183" s="20"/>
      <c r="J183" s="20"/>
      <c r="K183" s="20"/>
      <c r="L183" s="20"/>
    </row>
    <row r="184" spans="4:12" ht="14.25" x14ac:dyDescent="0.2">
      <c r="D184" s="20"/>
      <c r="E184" s="20"/>
      <c r="F184" s="20"/>
      <c r="G184" s="20"/>
      <c r="H184" s="20"/>
      <c r="I184" s="20"/>
      <c r="J184" s="20"/>
      <c r="K184" s="20"/>
      <c r="L184" s="20"/>
    </row>
    <row r="185" spans="4:12" ht="14.25" x14ac:dyDescent="0.2">
      <c r="D185" s="20"/>
      <c r="E185" s="20"/>
      <c r="F185" s="20"/>
      <c r="G185" s="20"/>
      <c r="H185" s="20"/>
      <c r="I185" s="20"/>
      <c r="J185" s="20"/>
      <c r="K185" s="20"/>
      <c r="L185" s="20"/>
    </row>
    <row r="186" spans="4:12" ht="14.25" x14ac:dyDescent="0.2">
      <c r="D186" s="20"/>
      <c r="E186" s="20"/>
      <c r="F186" s="20"/>
      <c r="G186" s="20"/>
      <c r="H186" s="20"/>
      <c r="I186" s="20"/>
      <c r="J186" s="20"/>
      <c r="K186" s="20"/>
      <c r="L186" s="20"/>
    </row>
    <row r="187" spans="4:12" ht="14.25" x14ac:dyDescent="0.2">
      <c r="D187" s="20"/>
      <c r="E187" s="20"/>
      <c r="F187" s="20"/>
      <c r="G187" s="20"/>
      <c r="H187" s="20"/>
      <c r="I187" s="20"/>
      <c r="J187" s="20"/>
      <c r="K187" s="20"/>
      <c r="L187" s="20"/>
    </row>
    <row r="188" spans="4:12" ht="14.25" x14ac:dyDescent="0.2">
      <c r="D188" s="20"/>
      <c r="E188" s="20"/>
      <c r="F188" s="20"/>
      <c r="G188" s="20"/>
      <c r="H188" s="20"/>
      <c r="I188" s="20"/>
      <c r="J188" s="20"/>
      <c r="K188" s="20"/>
      <c r="L188" s="20"/>
    </row>
    <row r="189" spans="4:12" ht="14.25" x14ac:dyDescent="0.2">
      <c r="D189" s="20"/>
      <c r="E189" s="20"/>
      <c r="F189" s="20"/>
      <c r="G189" s="20"/>
      <c r="H189" s="20"/>
      <c r="I189" s="20"/>
      <c r="J189" s="20"/>
      <c r="K189" s="20"/>
      <c r="L189" s="20"/>
    </row>
    <row r="190" spans="4:12" ht="14.25" x14ac:dyDescent="0.2">
      <c r="D190" s="20"/>
      <c r="E190" s="20"/>
      <c r="F190" s="20"/>
      <c r="G190" s="20"/>
      <c r="H190" s="20"/>
      <c r="I190" s="20"/>
      <c r="J190" s="20"/>
      <c r="K190" s="20"/>
      <c r="L190" s="20"/>
    </row>
    <row r="191" spans="4:12" ht="14.25" x14ac:dyDescent="0.2">
      <c r="D191" s="20"/>
      <c r="E191" s="20"/>
      <c r="F191" s="20"/>
      <c r="G191" s="20"/>
      <c r="H191" s="20"/>
      <c r="I191" s="20"/>
      <c r="J191" s="20"/>
      <c r="K191" s="20"/>
      <c r="L191" s="20"/>
    </row>
    <row r="192" spans="4:12" ht="14.25" x14ac:dyDescent="0.2">
      <c r="D192" s="20"/>
      <c r="E192" s="20"/>
      <c r="F192" s="20"/>
      <c r="G192" s="20"/>
      <c r="H192" s="20"/>
      <c r="I192" s="20"/>
      <c r="J192" s="20"/>
      <c r="K192" s="20"/>
      <c r="L192" s="20"/>
    </row>
    <row r="193" spans="4:12" ht="14.25" x14ac:dyDescent="0.2">
      <c r="D193" s="20"/>
      <c r="E193" s="20"/>
      <c r="F193" s="20"/>
      <c r="G193" s="20"/>
      <c r="H193" s="20"/>
      <c r="I193" s="20"/>
      <c r="J193" s="20"/>
      <c r="K193" s="20"/>
      <c r="L193" s="20"/>
    </row>
    <row r="194" spans="4:12" ht="14.25" x14ac:dyDescent="0.2">
      <c r="D194" s="20"/>
      <c r="E194" s="20"/>
      <c r="F194" s="20"/>
      <c r="G194" s="20"/>
      <c r="H194" s="20"/>
      <c r="I194" s="20"/>
      <c r="J194" s="20"/>
      <c r="K194" s="20"/>
      <c r="L194" s="20"/>
    </row>
    <row r="195" spans="4:12" ht="14.25" x14ac:dyDescent="0.2">
      <c r="D195" s="20"/>
      <c r="E195" s="20"/>
      <c r="F195" s="20"/>
      <c r="G195" s="20"/>
      <c r="H195" s="20"/>
      <c r="I195" s="20"/>
      <c r="J195" s="20"/>
      <c r="K195" s="20"/>
      <c r="L195" s="20"/>
    </row>
    <row r="196" spans="4:12" ht="14.25" x14ac:dyDescent="0.2">
      <c r="D196" s="20"/>
      <c r="E196" s="20"/>
      <c r="F196" s="20"/>
      <c r="G196" s="20"/>
      <c r="H196" s="20"/>
      <c r="I196" s="20"/>
      <c r="J196" s="20"/>
      <c r="K196" s="20"/>
      <c r="L196" s="20"/>
    </row>
    <row r="197" spans="4:12" ht="14.25" x14ac:dyDescent="0.2">
      <c r="D197" s="20"/>
      <c r="E197" s="20"/>
      <c r="F197" s="20"/>
      <c r="G197" s="20"/>
      <c r="H197" s="20"/>
      <c r="I197" s="20"/>
      <c r="J197" s="20"/>
      <c r="K197" s="20"/>
      <c r="L197" s="20"/>
    </row>
    <row r="198" spans="4:12" ht="14.25" x14ac:dyDescent="0.2">
      <c r="D198" s="20"/>
      <c r="E198" s="20"/>
      <c r="F198" s="20"/>
      <c r="G198" s="20"/>
      <c r="H198" s="20"/>
      <c r="I198" s="20"/>
      <c r="J198" s="20"/>
      <c r="K198" s="20"/>
      <c r="L198" s="20"/>
    </row>
    <row r="199" spans="4:12" ht="14.25" x14ac:dyDescent="0.2">
      <c r="D199" s="20"/>
      <c r="E199" s="20"/>
      <c r="F199" s="20"/>
      <c r="G199" s="20"/>
      <c r="H199" s="20"/>
      <c r="I199" s="20"/>
      <c r="J199" s="20"/>
      <c r="K199" s="20"/>
      <c r="L199" s="20"/>
    </row>
    <row r="200" spans="4:12" ht="14.25" x14ac:dyDescent="0.2">
      <c r="D200" s="20"/>
      <c r="E200" s="20"/>
      <c r="F200" s="20"/>
      <c r="G200" s="20"/>
      <c r="H200" s="20"/>
      <c r="I200" s="20"/>
      <c r="J200" s="20"/>
      <c r="K200" s="20"/>
      <c r="L200" s="20"/>
    </row>
    <row r="201" spans="4:12" ht="14.25" x14ac:dyDescent="0.2">
      <c r="D201" s="20"/>
      <c r="E201" s="20"/>
      <c r="F201" s="20"/>
      <c r="G201" s="20"/>
      <c r="H201" s="20"/>
      <c r="I201" s="20"/>
      <c r="J201" s="20"/>
      <c r="K201" s="20"/>
      <c r="L201" s="20"/>
    </row>
    <row r="202" spans="4:12" ht="14.25" x14ac:dyDescent="0.2">
      <c r="D202" s="20"/>
      <c r="E202" s="20"/>
      <c r="F202" s="20"/>
      <c r="G202" s="20"/>
      <c r="H202" s="20"/>
      <c r="I202" s="20"/>
      <c r="J202" s="20"/>
      <c r="K202" s="20"/>
      <c r="L202" s="20"/>
    </row>
    <row r="203" spans="4:12" ht="14.25" x14ac:dyDescent="0.2">
      <c r="D203" s="20"/>
      <c r="E203" s="20"/>
      <c r="F203" s="20"/>
      <c r="G203" s="20"/>
      <c r="H203" s="20"/>
      <c r="I203" s="20"/>
      <c r="J203" s="20"/>
      <c r="K203" s="20"/>
      <c r="L203" s="20"/>
    </row>
    <row r="204" spans="4:12" ht="14.25" x14ac:dyDescent="0.2">
      <c r="D204" s="20"/>
      <c r="E204" s="20"/>
      <c r="F204" s="20"/>
      <c r="G204" s="20"/>
      <c r="H204" s="20"/>
      <c r="I204" s="20"/>
      <c r="J204" s="20"/>
      <c r="K204" s="20"/>
      <c r="L204" s="20"/>
    </row>
    <row r="205" spans="4:12" ht="14.25" x14ac:dyDescent="0.2">
      <c r="D205" s="20"/>
      <c r="E205" s="20"/>
      <c r="F205" s="20"/>
      <c r="G205" s="20"/>
      <c r="H205" s="20"/>
      <c r="I205" s="20"/>
      <c r="J205" s="20"/>
      <c r="K205" s="20"/>
      <c r="L205" s="20"/>
    </row>
    <row r="206" spans="4:12" ht="14.25" x14ac:dyDescent="0.2">
      <c r="D206" s="20"/>
      <c r="E206" s="20"/>
      <c r="F206" s="20"/>
      <c r="G206" s="20"/>
      <c r="H206" s="20"/>
      <c r="I206" s="20"/>
      <c r="J206" s="20"/>
      <c r="K206" s="20"/>
      <c r="L206" s="20"/>
    </row>
    <row r="207" spans="4:12" ht="14.25" x14ac:dyDescent="0.2">
      <c r="D207" s="20"/>
      <c r="E207" s="20"/>
      <c r="F207" s="20"/>
      <c r="G207" s="20"/>
      <c r="H207" s="20"/>
      <c r="I207" s="20"/>
      <c r="J207" s="20"/>
      <c r="K207" s="20"/>
      <c r="L207" s="20"/>
    </row>
    <row r="208" spans="4:12" ht="14.25" x14ac:dyDescent="0.2">
      <c r="D208" s="20"/>
      <c r="E208" s="20"/>
      <c r="F208" s="20"/>
      <c r="G208" s="20"/>
      <c r="H208" s="20"/>
      <c r="I208" s="20"/>
      <c r="J208" s="20"/>
      <c r="K208" s="20"/>
      <c r="L208" s="20"/>
    </row>
    <row r="209" spans="4:12" ht="14.25" x14ac:dyDescent="0.2">
      <c r="D209" s="20"/>
      <c r="E209" s="20"/>
      <c r="F209" s="20"/>
      <c r="G209" s="20"/>
      <c r="H209" s="20"/>
      <c r="I209" s="20"/>
      <c r="J209" s="20"/>
      <c r="K209" s="20"/>
      <c r="L209" s="20"/>
    </row>
    <row r="210" spans="4:12" ht="14.25" x14ac:dyDescent="0.2">
      <c r="D210" s="20"/>
      <c r="E210" s="20"/>
      <c r="F210" s="20"/>
      <c r="G210" s="20"/>
      <c r="H210" s="20"/>
      <c r="I210" s="20"/>
      <c r="J210" s="20"/>
      <c r="K210" s="20"/>
      <c r="L210" s="20"/>
    </row>
    <row r="211" spans="4:12" ht="14.25" x14ac:dyDescent="0.2">
      <c r="D211" s="20"/>
      <c r="E211" s="20"/>
      <c r="F211" s="20"/>
      <c r="G211" s="20"/>
      <c r="H211" s="20"/>
      <c r="I211" s="20"/>
      <c r="J211" s="20"/>
      <c r="K211" s="20"/>
      <c r="L211" s="20"/>
    </row>
    <row r="212" spans="4:12" ht="14.25" x14ac:dyDescent="0.2">
      <c r="D212" s="20"/>
      <c r="E212" s="20"/>
      <c r="F212" s="20"/>
      <c r="G212" s="20"/>
      <c r="H212" s="20"/>
      <c r="I212" s="20"/>
      <c r="J212" s="20"/>
      <c r="K212" s="20"/>
      <c r="L212" s="20"/>
    </row>
    <row r="213" spans="4:12" ht="14.25" x14ac:dyDescent="0.2">
      <c r="D213" s="20"/>
      <c r="E213" s="20"/>
      <c r="F213" s="20"/>
      <c r="G213" s="20"/>
      <c r="H213" s="20"/>
      <c r="I213" s="20"/>
      <c r="J213" s="20"/>
      <c r="K213" s="20"/>
      <c r="L213" s="20"/>
    </row>
    <row r="214" spans="4:12" ht="14.25" x14ac:dyDescent="0.2">
      <c r="D214" s="20"/>
      <c r="E214" s="20"/>
      <c r="F214" s="20"/>
      <c r="G214" s="20"/>
      <c r="H214" s="20"/>
      <c r="I214" s="20"/>
      <c r="J214" s="20"/>
      <c r="K214" s="20"/>
      <c r="L214" s="20"/>
    </row>
    <row r="215" spans="4:12" ht="14.25" x14ac:dyDescent="0.2">
      <c r="D215" s="20"/>
      <c r="E215" s="20"/>
      <c r="F215" s="20"/>
      <c r="G215" s="20"/>
      <c r="H215" s="20"/>
      <c r="I215" s="20"/>
      <c r="J215" s="20"/>
      <c r="K215" s="20"/>
      <c r="L215" s="20"/>
    </row>
    <row r="216" spans="4:12" ht="14.25" x14ac:dyDescent="0.2">
      <c r="D216" s="20"/>
      <c r="E216" s="20"/>
      <c r="F216" s="20"/>
      <c r="G216" s="20"/>
      <c r="H216" s="20"/>
      <c r="I216" s="20"/>
      <c r="J216" s="20"/>
      <c r="K216" s="20"/>
      <c r="L216" s="20"/>
    </row>
    <row r="217" spans="4:12" ht="14.25" x14ac:dyDescent="0.2">
      <c r="D217" s="20"/>
      <c r="E217" s="20"/>
      <c r="F217" s="20"/>
      <c r="G217" s="20"/>
      <c r="H217" s="20"/>
      <c r="I217" s="20"/>
      <c r="J217" s="20"/>
      <c r="K217" s="20"/>
      <c r="L217" s="20"/>
    </row>
    <row r="218" spans="4:12" ht="14.25" x14ac:dyDescent="0.2">
      <c r="D218" s="20"/>
      <c r="E218" s="20"/>
      <c r="F218" s="20"/>
      <c r="G218" s="20"/>
      <c r="H218" s="20"/>
      <c r="I218" s="20"/>
      <c r="J218" s="20"/>
      <c r="K218" s="20"/>
      <c r="L218" s="20"/>
    </row>
    <row r="219" spans="4:12" ht="14.25" x14ac:dyDescent="0.2">
      <c r="D219" s="20"/>
      <c r="E219" s="20"/>
      <c r="F219" s="20"/>
      <c r="G219" s="20"/>
      <c r="H219" s="20"/>
      <c r="I219" s="20"/>
      <c r="J219" s="20"/>
      <c r="K219" s="20"/>
      <c r="L219" s="20"/>
    </row>
    <row r="220" spans="4:12" ht="14.25" x14ac:dyDescent="0.2">
      <c r="D220" s="20"/>
      <c r="E220" s="20"/>
      <c r="F220" s="20"/>
      <c r="G220" s="20"/>
      <c r="H220" s="20"/>
      <c r="I220" s="20"/>
      <c r="J220" s="20"/>
      <c r="K220" s="20"/>
      <c r="L220" s="20"/>
    </row>
    <row r="221" spans="4:12" ht="14.25" x14ac:dyDescent="0.2">
      <c r="D221" s="20"/>
      <c r="E221" s="20"/>
      <c r="F221" s="20"/>
      <c r="G221" s="20"/>
      <c r="H221" s="20"/>
      <c r="I221" s="20"/>
      <c r="J221" s="20"/>
      <c r="K221" s="20"/>
      <c r="L221" s="20"/>
    </row>
    <row r="222" spans="4:12" ht="14.25" x14ac:dyDescent="0.2">
      <c r="D222" s="20"/>
      <c r="E222" s="20"/>
      <c r="F222" s="20"/>
      <c r="G222" s="20"/>
      <c r="H222" s="20"/>
      <c r="I222" s="20"/>
      <c r="J222" s="20"/>
      <c r="K222" s="20"/>
      <c r="L222" s="20"/>
    </row>
    <row r="223" spans="4:12" ht="14.25" x14ac:dyDescent="0.2">
      <c r="D223" s="20"/>
      <c r="E223" s="20"/>
      <c r="F223" s="20"/>
      <c r="G223" s="20"/>
      <c r="H223" s="20"/>
      <c r="I223" s="20"/>
      <c r="J223" s="20"/>
      <c r="K223" s="20"/>
      <c r="L223" s="20"/>
    </row>
    <row r="224" spans="4:12" ht="14.25" x14ac:dyDescent="0.2">
      <c r="D224" s="20"/>
      <c r="E224" s="20"/>
      <c r="F224" s="20"/>
      <c r="G224" s="20"/>
      <c r="H224" s="20"/>
      <c r="I224" s="20"/>
      <c r="J224" s="20"/>
      <c r="K224" s="20"/>
      <c r="L224" s="20"/>
    </row>
    <row r="225" spans="4:12" ht="14.25" x14ac:dyDescent="0.2">
      <c r="D225" s="20"/>
      <c r="E225" s="20"/>
      <c r="F225" s="20"/>
      <c r="G225" s="20"/>
      <c r="H225" s="20"/>
      <c r="I225" s="20"/>
      <c r="J225" s="20"/>
      <c r="K225" s="20"/>
      <c r="L225" s="20"/>
    </row>
    <row r="226" spans="4:12" ht="14.25" x14ac:dyDescent="0.2">
      <c r="D226" s="20"/>
      <c r="E226" s="20"/>
      <c r="F226" s="20"/>
      <c r="G226" s="20"/>
      <c r="H226" s="20"/>
      <c r="I226" s="20"/>
      <c r="J226" s="20"/>
      <c r="K226" s="20"/>
      <c r="L226" s="20"/>
    </row>
    <row r="227" spans="4:12" ht="14.25" x14ac:dyDescent="0.2">
      <c r="D227" s="20"/>
      <c r="E227" s="20"/>
      <c r="F227" s="20"/>
      <c r="G227" s="20"/>
      <c r="H227" s="20"/>
      <c r="I227" s="20"/>
      <c r="J227" s="20"/>
      <c r="K227" s="20"/>
      <c r="L227" s="20"/>
    </row>
    <row r="228" spans="4:12" ht="14.25" x14ac:dyDescent="0.2">
      <c r="D228" s="20"/>
      <c r="E228" s="20"/>
      <c r="F228" s="20"/>
      <c r="G228" s="20"/>
      <c r="H228" s="20"/>
      <c r="I228" s="20"/>
      <c r="J228" s="20"/>
      <c r="K228" s="20"/>
      <c r="L228" s="20"/>
    </row>
    <row r="229" spans="4:12" ht="14.25" x14ac:dyDescent="0.2">
      <c r="D229" s="20"/>
      <c r="E229" s="20"/>
      <c r="F229" s="20"/>
      <c r="G229" s="20"/>
      <c r="H229" s="20"/>
      <c r="I229" s="20"/>
      <c r="J229" s="20"/>
      <c r="K229" s="20"/>
      <c r="L229" s="20"/>
    </row>
    <row r="230" spans="4:12" ht="14.25" x14ac:dyDescent="0.2">
      <c r="D230" s="20"/>
      <c r="E230" s="20"/>
      <c r="F230" s="20"/>
      <c r="G230" s="20"/>
      <c r="H230" s="20"/>
      <c r="I230" s="20"/>
      <c r="J230" s="20"/>
      <c r="K230" s="20"/>
      <c r="L230" s="20"/>
    </row>
    <row r="231" spans="4:12" ht="14.25" x14ac:dyDescent="0.2">
      <c r="D231" s="20"/>
      <c r="E231" s="20"/>
      <c r="F231" s="20"/>
      <c r="G231" s="20"/>
      <c r="H231" s="20"/>
      <c r="I231" s="20"/>
      <c r="J231" s="20"/>
      <c r="K231" s="20"/>
      <c r="L231" s="20"/>
    </row>
    <row r="232" spans="4:12" ht="14.25" x14ac:dyDescent="0.2">
      <c r="D232" s="20"/>
      <c r="E232" s="20"/>
      <c r="F232" s="20"/>
      <c r="G232" s="20"/>
      <c r="H232" s="20"/>
      <c r="I232" s="20"/>
      <c r="J232" s="20"/>
      <c r="K232" s="20"/>
      <c r="L232" s="20"/>
    </row>
    <row r="233" spans="4:12" ht="14.25" x14ac:dyDescent="0.2">
      <c r="D233" s="20"/>
      <c r="E233" s="20"/>
      <c r="F233" s="20"/>
      <c r="G233" s="20"/>
      <c r="H233" s="20"/>
      <c r="I233" s="20"/>
      <c r="J233" s="20"/>
      <c r="K233" s="20"/>
      <c r="L233" s="20"/>
    </row>
    <row r="234" spans="4:12" ht="14.25" x14ac:dyDescent="0.2">
      <c r="D234" s="20"/>
      <c r="E234" s="20"/>
      <c r="F234" s="20"/>
      <c r="G234" s="20"/>
      <c r="H234" s="20"/>
      <c r="I234" s="20"/>
      <c r="J234" s="20"/>
      <c r="K234" s="20"/>
      <c r="L234" s="20"/>
    </row>
    <row r="235" spans="4:12" ht="14.25" x14ac:dyDescent="0.2">
      <c r="D235" s="20"/>
      <c r="E235" s="20"/>
      <c r="F235" s="20"/>
      <c r="G235" s="20"/>
      <c r="H235" s="20"/>
      <c r="I235" s="20"/>
      <c r="J235" s="20"/>
      <c r="K235" s="20"/>
      <c r="L235" s="20"/>
    </row>
    <row r="236" spans="4:12" ht="14.25" x14ac:dyDescent="0.2">
      <c r="D236" s="20"/>
      <c r="E236" s="20"/>
      <c r="F236" s="20"/>
      <c r="G236" s="20"/>
      <c r="H236" s="20"/>
      <c r="I236" s="20"/>
      <c r="J236" s="20"/>
      <c r="K236" s="20"/>
      <c r="L236" s="20"/>
    </row>
    <row r="237" spans="4:12" ht="14.25" x14ac:dyDescent="0.2">
      <c r="D237" s="20"/>
      <c r="E237" s="20"/>
      <c r="F237" s="20"/>
      <c r="G237" s="20"/>
      <c r="H237" s="20"/>
      <c r="I237" s="20"/>
      <c r="J237" s="20"/>
      <c r="K237" s="20"/>
      <c r="L237" s="20"/>
    </row>
    <row r="238" spans="4:12" ht="14.25" x14ac:dyDescent="0.2">
      <c r="D238" s="20"/>
      <c r="E238" s="20"/>
      <c r="F238" s="20"/>
      <c r="G238" s="20"/>
      <c r="H238" s="20"/>
      <c r="I238" s="20"/>
      <c r="J238" s="20"/>
      <c r="K238" s="20"/>
      <c r="L238" s="20"/>
    </row>
    <row r="239" spans="4:12" ht="14.25" x14ac:dyDescent="0.2">
      <c r="D239" s="20"/>
      <c r="E239" s="20"/>
      <c r="F239" s="20"/>
      <c r="G239" s="20"/>
      <c r="H239" s="20"/>
      <c r="I239" s="20"/>
      <c r="J239" s="20"/>
      <c r="K239" s="20"/>
      <c r="L239" s="20"/>
    </row>
    <row r="240" spans="4:12" ht="14.25" x14ac:dyDescent="0.2">
      <c r="D240" s="20"/>
      <c r="E240" s="20"/>
      <c r="F240" s="20"/>
      <c r="G240" s="20"/>
      <c r="H240" s="20"/>
      <c r="I240" s="20"/>
      <c r="J240" s="20"/>
      <c r="K240" s="20"/>
      <c r="L240" s="20"/>
    </row>
    <row r="241" spans="4:12" ht="14.25" x14ac:dyDescent="0.2">
      <c r="D241" s="20"/>
      <c r="E241" s="20"/>
      <c r="F241" s="20"/>
      <c r="G241" s="20"/>
      <c r="H241" s="20"/>
      <c r="I241" s="20"/>
      <c r="J241" s="20"/>
      <c r="K241" s="20"/>
      <c r="L241" s="20"/>
    </row>
    <row r="242" spans="4:12" ht="14.25" x14ac:dyDescent="0.2">
      <c r="D242" s="20"/>
      <c r="E242" s="20"/>
      <c r="F242" s="20"/>
      <c r="G242" s="20"/>
      <c r="H242" s="20"/>
      <c r="I242" s="20"/>
      <c r="J242" s="20"/>
      <c r="K242" s="20"/>
      <c r="L242" s="20"/>
    </row>
    <row r="243" spans="4:12" ht="14.25" x14ac:dyDescent="0.2">
      <c r="D243" s="20"/>
      <c r="E243" s="20"/>
      <c r="F243" s="20"/>
      <c r="G243" s="20"/>
      <c r="H243" s="20"/>
      <c r="I243" s="20"/>
      <c r="J243" s="20"/>
      <c r="K243" s="20"/>
      <c r="L243" s="20"/>
    </row>
    <row r="244" spans="4:12" ht="14.25" x14ac:dyDescent="0.2">
      <c r="D244" s="20"/>
      <c r="E244" s="20"/>
      <c r="F244" s="20"/>
      <c r="G244" s="20"/>
      <c r="H244" s="20"/>
      <c r="I244" s="20"/>
      <c r="J244" s="20"/>
      <c r="K244" s="20"/>
      <c r="L244" s="20"/>
    </row>
    <row r="245" spans="4:12" ht="14.25" x14ac:dyDescent="0.2">
      <c r="D245" s="20"/>
      <c r="E245" s="20"/>
      <c r="F245" s="20"/>
      <c r="G245" s="20"/>
      <c r="H245" s="20"/>
      <c r="I245" s="20"/>
      <c r="J245" s="20"/>
      <c r="K245" s="20"/>
      <c r="L245" s="20"/>
    </row>
    <row r="246" spans="4:12" ht="14.25" x14ac:dyDescent="0.2">
      <c r="D246" s="20"/>
      <c r="E246" s="20"/>
      <c r="F246" s="20"/>
      <c r="G246" s="20"/>
      <c r="H246" s="20"/>
      <c r="I246" s="20"/>
      <c r="J246" s="20"/>
      <c r="K246" s="20"/>
      <c r="L246" s="20"/>
    </row>
    <row r="247" spans="4:12" ht="14.25" x14ac:dyDescent="0.2">
      <c r="D247" s="20"/>
      <c r="E247" s="20"/>
      <c r="F247" s="20"/>
      <c r="G247" s="20"/>
      <c r="H247" s="20"/>
      <c r="I247" s="20"/>
      <c r="J247" s="20"/>
      <c r="K247" s="20"/>
      <c r="L247" s="20"/>
    </row>
    <row r="248" spans="4:12" ht="14.25" x14ac:dyDescent="0.2">
      <c r="D248" s="20"/>
      <c r="E248" s="20"/>
      <c r="F248" s="20"/>
      <c r="G248" s="20"/>
      <c r="H248" s="20"/>
      <c r="I248" s="20"/>
      <c r="J248" s="20"/>
      <c r="K248" s="20"/>
      <c r="L248" s="20"/>
    </row>
    <row r="249" spans="4:12" ht="14.25" x14ac:dyDescent="0.2">
      <c r="D249" s="20"/>
      <c r="E249" s="20"/>
      <c r="F249" s="20"/>
      <c r="G249" s="20"/>
      <c r="H249" s="20"/>
      <c r="I249" s="20"/>
      <c r="J249" s="20"/>
      <c r="K249" s="20"/>
      <c r="L249" s="20"/>
    </row>
    <row r="250" spans="4:12" ht="14.25" x14ac:dyDescent="0.2">
      <c r="D250" s="20"/>
      <c r="E250" s="20"/>
      <c r="F250" s="20"/>
      <c r="G250" s="20"/>
      <c r="H250" s="20"/>
      <c r="I250" s="20"/>
      <c r="J250" s="20"/>
      <c r="K250" s="20"/>
      <c r="L250" s="20"/>
    </row>
    <row r="251" spans="4:12" ht="14.25" x14ac:dyDescent="0.2">
      <c r="D251" s="20"/>
      <c r="E251" s="20"/>
      <c r="F251" s="20"/>
      <c r="G251" s="20"/>
      <c r="H251" s="20"/>
      <c r="I251" s="20"/>
      <c r="J251" s="20"/>
      <c r="K251" s="20"/>
      <c r="L251" s="20"/>
    </row>
    <row r="252" spans="4:12" ht="14.25" x14ac:dyDescent="0.2">
      <c r="D252" s="20"/>
      <c r="E252" s="20"/>
      <c r="F252" s="20"/>
      <c r="G252" s="20"/>
      <c r="H252" s="20"/>
      <c r="I252" s="20"/>
      <c r="J252" s="20"/>
      <c r="K252" s="20"/>
      <c r="L252" s="20"/>
    </row>
    <row r="253" spans="4:12" ht="14.25" x14ac:dyDescent="0.2">
      <c r="D253" s="20"/>
      <c r="E253" s="20"/>
      <c r="F253" s="20"/>
      <c r="G253" s="20"/>
      <c r="H253" s="20"/>
      <c r="I253" s="20"/>
      <c r="J253" s="20"/>
      <c r="K253" s="20"/>
      <c r="L253" s="20"/>
    </row>
    <row r="254" spans="4:12" ht="14.25" x14ac:dyDescent="0.2">
      <c r="D254" s="20"/>
      <c r="E254" s="20"/>
      <c r="F254" s="20"/>
      <c r="G254" s="20"/>
      <c r="H254" s="20"/>
      <c r="I254" s="20"/>
      <c r="J254" s="20"/>
      <c r="K254" s="20"/>
      <c r="L254" s="20"/>
    </row>
    <row r="255" spans="4:12" ht="14.25" x14ac:dyDescent="0.2">
      <c r="D255" s="20"/>
      <c r="E255" s="20"/>
      <c r="F255" s="20"/>
      <c r="G255" s="20"/>
      <c r="H255" s="20"/>
      <c r="I255" s="20"/>
      <c r="J255" s="20"/>
      <c r="K255" s="20"/>
      <c r="L255" s="20"/>
    </row>
    <row r="256" spans="4:12" ht="14.25" x14ac:dyDescent="0.2">
      <c r="D256" s="20"/>
      <c r="E256" s="20"/>
      <c r="F256" s="20"/>
      <c r="G256" s="20"/>
      <c r="H256" s="20"/>
      <c r="I256" s="20"/>
      <c r="J256" s="20"/>
      <c r="K256" s="20"/>
      <c r="L256" s="20"/>
    </row>
    <row r="257" spans="4:12" ht="14.25" x14ac:dyDescent="0.2">
      <c r="D257" s="20"/>
      <c r="E257" s="20"/>
      <c r="F257" s="20"/>
      <c r="G257" s="20"/>
      <c r="H257" s="20"/>
      <c r="I257" s="20"/>
      <c r="J257" s="20"/>
      <c r="K257" s="20"/>
      <c r="L257" s="20"/>
    </row>
    <row r="258" spans="4:12" ht="14.25" x14ac:dyDescent="0.2">
      <c r="D258" s="20"/>
      <c r="E258" s="20"/>
      <c r="F258" s="20"/>
      <c r="G258" s="20"/>
      <c r="H258" s="20"/>
      <c r="I258" s="20"/>
      <c r="J258" s="20"/>
      <c r="K258" s="20"/>
      <c r="L258" s="20"/>
    </row>
    <row r="259" spans="4:12" ht="14.25" x14ac:dyDescent="0.2">
      <c r="D259" s="20"/>
      <c r="E259" s="20"/>
      <c r="F259" s="20"/>
      <c r="G259" s="20"/>
      <c r="H259" s="20"/>
      <c r="I259" s="20"/>
      <c r="J259" s="20"/>
      <c r="K259" s="20"/>
      <c r="L259" s="20"/>
    </row>
    <row r="260" spans="4:12" ht="14.25" x14ac:dyDescent="0.2">
      <c r="D260" s="20"/>
      <c r="E260" s="20"/>
      <c r="F260" s="20"/>
      <c r="G260" s="20"/>
      <c r="H260" s="20"/>
      <c r="I260" s="20"/>
      <c r="J260" s="20"/>
      <c r="K260" s="20"/>
      <c r="L260" s="20"/>
    </row>
    <row r="261" spans="4:12" ht="14.25" x14ac:dyDescent="0.2">
      <c r="D261" s="20"/>
      <c r="E261" s="20"/>
      <c r="F261" s="20"/>
      <c r="G261" s="20"/>
      <c r="H261" s="20"/>
      <c r="I261" s="20"/>
      <c r="J261" s="20"/>
      <c r="K261" s="20"/>
      <c r="L261" s="20"/>
    </row>
    <row r="262" spans="4:12" ht="14.25" x14ac:dyDescent="0.2">
      <c r="D262" s="20"/>
      <c r="E262" s="20"/>
      <c r="F262" s="20"/>
      <c r="G262" s="20"/>
      <c r="H262" s="20"/>
      <c r="I262" s="20"/>
      <c r="J262" s="20"/>
      <c r="K262" s="20"/>
      <c r="L262" s="20"/>
    </row>
    <row r="263" spans="4:12" ht="14.25" x14ac:dyDescent="0.2">
      <c r="D263" s="20"/>
      <c r="E263" s="20"/>
      <c r="F263" s="20"/>
      <c r="G263" s="20"/>
      <c r="H263" s="20"/>
      <c r="I263" s="20"/>
      <c r="J263" s="20"/>
      <c r="K263" s="20"/>
      <c r="L263" s="20"/>
    </row>
    <row r="264" spans="4:12" ht="14.25" x14ac:dyDescent="0.2">
      <c r="D264" s="20"/>
      <c r="E264" s="20"/>
      <c r="F264" s="20"/>
      <c r="G264" s="20"/>
      <c r="H264" s="20"/>
      <c r="I264" s="20"/>
      <c r="J264" s="20"/>
      <c r="K264" s="20"/>
      <c r="L264" s="20"/>
    </row>
    <row r="265" spans="4:12" ht="14.25" x14ac:dyDescent="0.2">
      <c r="D265" s="20"/>
      <c r="E265" s="20"/>
      <c r="F265" s="20"/>
      <c r="G265" s="20"/>
      <c r="H265" s="20"/>
      <c r="I265" s="20"/>
      <c r="J265" s="20"/>
      <c r="K265" s="20"/>
      <c r="L265" s="20"/>
    </row>
    <row r="266" spans="4:12" ht="14.25" x14ac:dyDescent="0.2">
      <c r="D266" s="20"/>
      <c r="E266" s="20"/>
      <c r="F266" s="20"/>
      <c r="G266" s="20"/>
      <c r="H266" s="20"/>
      <c r="I266" s="20"/>
      <c r="J266" s="20"/>
      <c r="K266" s="20"/>
      <c r="L266" s="20"/>
    </row>
    <row r="267" spans="4:12" ht="14.25" x14ac:dyDescent="0.2">
      <c r="D267" s="20"/>
      <c r="E267" s="20"/>
      <c r="F267" s="20"/>
      <c r="G267" s="20"/>
      <c r="H267" s="20"/>
      <c r="I267" s="20"/>
      <c r="J267" s="20"/>
      <c r="K267" s="20"/>
      <c r="L267" s="20"/>
    </row>
    <row r="268" spans="4:12" ht="14.25" x14ac:dyDescent="0.2">
      <c r="D268" s="20"/>
      <c r="E268" s="20"/>
      <c r="F268" s="20"/>
      <c r="G268" s="20"/>
      <c r="H268" s="20"/>
      <c r="I268" s="20"/>
      <c r="J268" s="20"/>
      <c r="K268" s="20"/>
      <c r="L268" s="20"/>
    </row>
    <row r="269" spans="4:12" ht="14.25" x14ac:dyDescent="0.2">
      <c r="D269" s="20"/>
      <c r="E269" s="20"/>
      <c r="F269" s="20"/>
      <c r="G269" s="20"/>
      <c r="H269" s="20"/>
      <c r="I269" s="20"/>
      <c r="J269" s="20"/>
      <c r="K269" s="20"/>
      <c r="L269" s="20"/>
    </row>
    <row r="270" spans="4:12" ht="14.25" x14ac:dyDescent="0.2">
      <c r="D270" s="20"/>
      <c r="E270" s="20"/>
      <c r="F270" s="20"/>
      <c r="G270" s="20"/>
      <c r="H270" s="20"/>
      <c r="I270" s="20"/>
      <c r="J270" s="20"/>
      <c r="K270" s="20"/>
      <c r="L270" s="20"/>
    </row>
    <row r="271" spans="4:12" ht="14.25" x14ac:dyDescent="0.2">
      <c r="D271" s="20"/>
      <c r="E271" s="20"/>
      <c r="F271" s="20"/>
      <c r="G271" s="20"/>
      <c r="H271" s="20"/>
      <c r="I271" s="20"/>
      <c r="J271" s="20"/>
      <c r="K271" s="20"/>
      <c r="L271" s="20"/>
    </row>
    <row r="272" spans="4:12" ht="14.25" x14ac:dyDescent="0.2">
      <c r="D272" s="20"/>
      <c r="E272" s="20"/>
      <c r="F272" s="20"/>
      <c r="G272" s="20"/>
      <c r="H272" s="20"/>
      <c r="I272" s="20"/>
      <c r="J272" s="20"/>
      <c r="K272" s="20"/>
      <c r="L272" s="20"/>
    </row>
    <row r="273" spans="4:12" ht="14.25" x14ac:dyDescent="0.2">
      <c r="D273" s="20"/>
      <c r="E273" s="20"/>
      <c r="F273" s="20"/>
      <c r="G273" s="20"/>
      <c r="H273" s="20"/>
      <c r="I273" s="20"/>
      <c r="J273" s="20"/>
      <c r="K273" s="20"/>
      <c r="L273" s="20"/>
    </row>
    <row r="274" spans="4:12" ht="14.25" x14ac:dyDescent="0.2">
      <c r="D274" s="20"/>
      <c r="E274" s="20"/>
      <c r="F274" s="20"/>
      <c r="G274" s="20"/>
      <c r="H274" s="20"/>
      <c r="I274" s="20"/>
      <c r="J274" s="20"/>
      <c r="K274" s="20"/>
      <c r="L274" s="20"/>
    </row>
    <row r="275" spans="4:12" ht="14.25" x14ac:dyDescent="0.2">
      <c r="D275" s="20"/>
      <c r="E275" s="20"/>
      <c r="F275" s="20"/>
      <c r="G275" s="20"/>
      <c r="H275" s="20"/>
      <c r="I275" s="20"/>
      <c r="J275" s="20"/>
      <c r="K275" s="20"/>
      <c r="L275" s="20"/>
    </row>
    <row r="276" spans="4:12" ht="14.25" x14ac:dyDescent="0.2">
      <c r="D276" s="20"/>
      <c r="E276" s="20"/>
      <c r="F276" s="20"/>
      <c r="G276" s="20"/>
      <c r="H276" s="20"/>
      <c r="I276" s="20"/>
      <c r="J276" s="20"/>
      <c r="K276" s="20"/>
      <c r="L276" s="20"/>
    </row>
    <row r="277" spans="4:12" ht="14.25" x14ac:dyDescent="0.2">
      <c r="D277" s="20"/>
      <c r="E277" s="20"/>
      <c r="F277" s="20"/>
      <c r="G277" s="20"/>
      <c r="H277" s="20"/>
      <c r="I277" s="20"/>
      <c r="J277" s="20"/>
      <c r="K277" s="20"/>
      <c r="L277" s="20"/>
    </row>
    <row r="278" spans="4:12" ht="14.25" x14ac:dyDescent="0.2">
      <c r="D278" s="20"/>
      <c r="E278" s="20"/>
      <c r="F278" s="20"/>
      <c r="G278" s="20"/>
      <c r="H278" s="20"/>
      <c r="I278" s="20"/>
      <c r="J278" s="20"/>
      <c r="K278" s="20"/>
      <c r="L278" s="20"/>
    </row>
    <row r="279" spans="4:12" ht="14.25" x14ac:dyDescent="0.2">
      <c r="D279" s="20"/>
      <c r="E279" s="20"/>
      <c r="F279" s="20"/>
      <c r="G279" s="20"/>
      <c r="H279" s="20"/>
      <c r="I279" s="20"/>
      <c r="J279" s="20"/>
      <c r="K279" s="20"/>
      <c r="L279" s="20"/>
    </row>
    <row r="280" spans="4:12" ht="14.25" x14ac:dyDescent="0.2">
      <c r="D280" s="20"/>
      <c r="E280" s="20"/>
      <c r="F280" s="20"/>
      <c r="G280" s="20"/>
      <c r="H280" s="20"/>
      <c r="I280" s="20"/>
      <c r="J280" s="20"/>
      <c r="K280" s="20"/>
      <c r="L280" s="20"/>
    </row>
    <row r="281" spans="4:12" ht="14.25" x14ac:dyDescent="0.2">
      <c r="D281" s="20"/>
      <c r="E281" s="20"/>
      <c r="F281" s="20"/>
      <c r="G281" s="20"/>
      <c r="H281" s="20"/>
      <c r="I281" s="20"/>
      <c r="J281" s="20"/>
      <c r="K281" s="20"/>
      <c r="L281" s="20"/>
    </row>
    <row r="282" spans="4:12" ht="14.25" x14ac:dyDescent="0.2">
      <c r="D282" s="20"/>
      <c r="E282" s="20"/>
      <c r="F282" s="20"/>
      <c r="G282" s="20"/>
      <c r="H282" s="20"/>
      <c r="I282" s="20"/>
      <c r="J282" s="20"/>
      <c r="K282" s="20"/>
      <c r="L282" s="20"/>
    </row>
    <row r="283" spans="4:12" ht="14.25" x14ac:dyDescent="0.2">
      <c r="D283" s="20"/>
      <c r="E283" s="20"/>
      <c r="F283" s="20"/>
      <c r="G283" s="20"/>
      <c r="H283" s="20"/>
      <c r="I283" s="20"/>
      <c r="J283" s="20"/>
      <c r="K283" s="20"/>
      <c r="L283" s="20"/>
    </row>
    <row r="284" spans="4:12" ht="14.25" x14ac:dyDescent="0.2">
      <c r="D284" s="20"/>
      <c r="E284" s="20"/>
      <c r="F284" s="20"/>
      <c r="G284" s="20"/>
      <c r="H284" s="20"/>
      <c r="I284" s="20"/>
      <c r="J284" s="20"/>
      <c r="K284" s="20"/>
      <c r="L284" s="20"/>
    </row>
    <row r="285" spans="4:12" ht="14.25" x14ac:dyDescent="0.2">
      <c r="D285" s="20"/>
      <c r="E285" s="20"/>
      <c r="F285" s="20"/>
      <c r="G285" s="20"/>
      <c r="H285" s="20"/>
      <c r="I285" s="20"/>
      <c r="J285" s="20"/>
      <c r="K285" s="20"/>
      <c r="L285" s="20"/>
    </row>
    <row r="286" spans="4:12" ht="14.25" x14ac:dyDescent="0.2">
      <c r="D286" s="20"/>
      <c r="E286" s="20"/>
      <c r="F286" s="20"/>
      <c r="G286" s="20"/>
      <c r="H286" s="20"/>
      <c r="I286" s="20"/>
      <c r="J286" s="20"/>
      <c r="K286" s="20"/>
      <c r="L286" s="20"/>
    </row>
    <row r="287" spans="4:12" ht="14.25" x14ac:dyDescent="0.2">
      <c r="D287" s="20"/>
      <c r="E287" s="20"/>
      <c r="F287" s="20"/>
      <c r="G287" s="20"/>
      <c r="H287" s="20"/>
      <c r="I287" s="20"/>
      <c r="J287" s="20"/>
      <c r="K287" s="20"/>
      <c r="L287" s="20"/>
    </row>
    <row r="288" spans="4:12" ht="14.25" x14ac:dyDescent="0.2">
      <c r="D288" s="20"/>
      <c r="E288" s="20"/>
      <c r="F288" s="20"/>
      <c r="G288" s="20"/>
      <c r="H288" s="20"/>
      <c r="I288" s="20"/>
      <c r="J288" s="20"/>
      <c r="K288" s="20"/>
      <c r="L288" s="20"/>
    </row>
    <row r="289" spans="4:12" ht="14.25" x14ac:dyDescent="0.2">
      <c r="D289" s="20"/>
      <c r="E289" s="20"/>
      <c r="F289" s="20"/>
      <c r="G289" s="20"/>
      <c r="H289" s="20"/>
      <c r="I289" s="20"/>
      <c r="J289" s="20"/>
      <c r="K289" s="20"/>
      <c r="L289" s="20"/>
    </row>
    <row r="290" spans="4:12" ht="14.25" x14ac:dyDescent="0.2">
      <c r="D290" s="20"/>
      <c r="E290" s="20"/>
      <c r="F290" s="20"/>
      <c r="G290" s="20"/>
      <c r="H290" s="20"/>
      <c r="I290" s="20"/>
      <c r="J290" s="20"/>
      <c r="K290" s="20"/>
      <c r="L290" s="20"/>
    </row>
    <row r="291" spans="4:12" ht="14.25" x14ac:dyDescent="0.2">
      <c r="D291" s="20"/>
      <c r="E291" s="20"/>
      <c r="F291" s="20"/>
      <c r="G291" s="20"/>
      <c r="H291" s="20"/>
      <c r="I291" s="20"/>
      <c r="J291" s="20"/>
      <c r="K291" s="20"/>
      <c r="L291" s="20"/>
    </row>
    <row r="292" spans="4:12" ht="14.25" x14ac:dyDescent="0.2">
      <c r="D292" s="20"/>
      <c r="E292" s="20"/>
      <c r="F292" s="20"/>
      <c r="G292" s="20"/>
      <c r="H292" s="20"/>
      <c r="I292" s="20"/>
      <c r="J292" s="20"/>
      <c r="K292" s="20"/>
      <c r="L292" s="20"/>
    </row>
    <row r="293" spans="4:12" ht="14.25" x14ac:dyDescent="0.2">
      <c r="D293" s="20"/>
      <c r="E293" s="20"/>
      <c r="F293" s="20"/>
      <c r="G293" s="20"/>
      <c r="H293" s="20"/>
      <c r="I293" s="20"/>
      <c r="J293" s="20"/>
      <c r="K293" s="20"/>
      <c r="L293" s="20"/>
    </row>
    <row r="294" spans="4:12" ht="14.25" x14ac:dyDescent="0.2">
      <c r="D294" s="20"/>
      <c r="E294" s="20"/>
      <c r="F294" s="20"/>
      <c r="G294" s="20"/>
      <c r="H294" s="20"/>
      <c r="I294" s="20"/>
      <c r="J294" s="20"/>
      <c r="K294" s="20"/>
      <c r="L294" s="20"/>
    </row>
    <row r="295" spans="4:12" ht="14.25" x14ac:dyDescent="0.2">
      <c r="D295" s="20"/>
      <c r="E295" s="20"/>
      <c r="F295" s="20"/>
      <c r="G295" s="20"/>
      <c r="H295" s="20"/>
      <c r="I295" s="20"/>
      <c r="J295" s="20"/>
      <c r="K295" s="20"/>
      <c r="L295" s="20"/>
    </row>
    <row r="296" spans="4:12" ht="14.25" x14ac:dyDescent="0.2">
      <c r="D296" s="20"/>
      <c r="E296" s="20"/>
      <c r="F296" s="20"/>
      <c r="G296" s="20"/>
      <c r="H296" s="20"/>
      <c r="I296" s="20"/>
      <c r="J296" s="20"/>
      <c r="K296" s="20"/>
      <c r="L296" s="20"/>
    </row>
    <row r="297" spans="4:12" ht="14.25" x14ac:dyDescent="0.2">
      <c r="D297" s="20"/>
      <c r="E297" s="20"/>
      <c r="F297" s="20"/>
      <c r="G297" s="20"/>
      <c r="H297" s="20"/>
      <c r="I297" s="20"/>
      <c r="J297" s="20"/>
      <c r="K297" s="20"/>
      <c r="L297" s="20"/>
    </row>
    <row r="298" spans="4:12" ht="14.25" x14ac:dyDescent="0.2">
      <c r="D298" s="20"/>
      <c r="E298" s="20"/>
      <c r="F298" s="20"/>
      <c r="G298" s="20"/>
      <c r="H298" s="20"/>
      <c r="I298" s="20"/>
      <c r="J298" s="20"/>
      <c r="K298" s="20"/>
      <c r="L298" s="20"/>
    </row>
    <row r="299" spans="4:12" ht="14.25" x14ac:dyDescent="0.2">
      <c r="D299" s="20"/>
      <c r="E299" s="20"/>
      <c r="F299" s="20"/>
      <c r="G299" s="20"/>
      <c r="H299" s="20"/>
      <c r="I299" s="20"/>
      <c r="J299" s="20"/>
      <c r="K299" s="20"/>
      <c r="L299" s="20"/>
    </row>
    <row r="300" spans="4:12" ht="14.25" x14ac:dyDescent="0.2">
      <c r="D300" s="20"/>
      <c r="E300" s="20"/>
      <c r="F300" s="20"/>
      <c r="G300" s="20"/>
      <c r="H300" s="20"/>
      <c r="I300" s="20"/>
      <c r="J300" s="20"/>
      <c r="K300" s="20"/>
      <c r="L300" s="20"/>
    </row>
    <row r="301" spans="4:12" ht="14.25" x14ac:dyDescent="0.2">
      <c r="D301" s="20"/>
      <c r="E301" s="20"/>
      <c r="F301" s="20"/>
      <c r="G301" s="20"/>
      <c r="H301" s="20"/>
      <c r="I301" s="20"/>
      <c r="J301" s="20"/>
      <c r="K301" s="20"/>
      <c r="L301" s="20"/>
    </row>
    <row r="302" spans="4:12" ht="14.25" x14ac:dyDescent="0.2">
      <c r="D302" s="20"/>
      <c r="E302" s="20"/>
      <c r="F302" s="20"/>
      <c r="G302" s="20"/>
      <c r="H302" s="20"/>
      <c r="I302" s="20"/>
      <c r="J302" s="20"/>
      <c r="K302" s="20"/>
      <c r="L302" s="20"/>
    </row>
    <row r="303" spans="4:12" ht="14.25" x14ac:dyDescent="0.2">
      <c r="D303" s="20"/>
      <c r="E303" s="20"/>
      <c r="F303" s="20"/>
      <c r="G303" s="20"/>
      <c r="H303" s="20"/>
      <c r="I303" s="20"/>
      <c r="J303" s="20"/>
      <c r="K303" s="20"/>
      <c r="L303" s="20"/>
    </row>
    <row r="304" spans="4:12" ht="14.25" x14ac:dyDescent="0.2">
      <c r="D304" s="20"/>
      <c r="E304" s="20"/>
      <c r="F304" s="20"/>
      <c r="G304" s="20"/>
      <c r="H304" s="20"/>
      <c r="I304" s="20"/>
      <c r="J304" s="20"/>
      <c r="K304" s="20"/>
      <c r="L304" s="20"/>
    </row>
    <row r="305" spans="4:12" ht="14.25" x14ac:dyDescent="0.2">
      <c r="D305" s="20"/>
      <c r="E305" s="20"/>
      <c r="F305" s="20"/>
      <c r="G305" s="20"/>
      <c r="H305" s="20"/>
      <c r="I305" s="20"/>
      <c r="J305" s="20"/>
      <c r="K305" s="20"/>
      <c r="L305" s="20"/>
    </row>
    <row r="306" spans="4:12" ht="14.25" x14ac:dyDescent="0.2">
      <c r="D306" s="20"/>
      <c r="E306" s="20"/>
      <c r="F306" s="20"/>
      <c r="G306" s="20"/>
      <c r="H306" s="20"/>
      <c r="I306" s="20"/>
      <c r="J306" s="20"/>
      <c r="K306" s="20"/>
      <c r="L306" s="20"/>
    </row>
    <row r="307" spans="4:12" ht="14.25" x14ac:dyDescent="0.2">
      <c r="D307" s="20"/>
      <c r="E307" s="20"/>
      <c r="F307" s="20"/>
      <c r="G307" s="20"/>
      <c r="H307" s="20"/>
      <c r="I307" s="20"/>
      <c r="J307" s="20"/>
      <c r="K307" s="20"/>
      <c r="L307" s="20"/>
    </row>
    <row r="308" spans="4:12" ht="14.25" x14ac:dyDescent="0.2">
      <c r="D308" s="20"/>
      <c r="E308" s="20"/>
      <c r="F308" s="20"/>
      <c r="G308" s="20"/>
      <c r="H308" s="20"/>
      <c r="I308" s="20"/>
      <c r="J308" s="20"/>
      <c r="K308" s="20"/>
      <c r="L308" s="20"/>
    </row>
    <row r="309" spans="4:12" ht="14.25" x14ac:dyDescent="0.2">
      <c r="D309" s="20"/>
      <c r="E309" s="20"/>
      <c r="F309" s="20"/>
      <c r="G309" s="20"/>
      <c r="H309" s="20"/>
      <c r="I309" s="20"/>
      <c r="J309" s="20"/>
      <c r="K309" s="20"/>
      <c r="L309" s="20"/>
    </row>
    <row r="310" spans="4:12" ht="14.25" x14ac:dyDescent="0.2">
      <c r="D310" s="20"/>
      <c r="E310" s="20"/>
      <c r="F310" s="20"/>
      <c r="G310" s="20"/>
      <c r="H310" s="20"/>
      <c r="I310" s="20"/>
      <c r="J310" s="20"/>
      <c r="K310" s="20"/>
      <c r="L310" s="20"/>
    </row>
    <row r="311" spans="4:12" ht="14.25" x14ac:dyDescent="0.2">
      <c r="D311" s="20"/>
      <c r="E311" s="20"/>
      <c r="F311" s="20"/>
      <c r="G311" s="20"/>
      <c r="H311" s="20"/>
      <c r="I311" s="20"/>
      <c r="J311" s="20"/>
      <c r="K311" s="20"/>
      <c r="L311" s="20"/>
    </row>
    <row r="312" spans="4:12" ht="14.25" x14ac:dyDescent="0.2">
      <c r="D312" s="20"/>
      <c r="E312" s="20"/>
      <c r="F312" s="20"/>
      <c r="G312" s="20"/>
      <c r="H312" s="20"/>
      <c r="I312" s="20"/>
      <c r="J312" s="20"/>
      <c r="K312" s="20"/>
      <c r="L312" s="20"/>
    </row>
    <row r="313" spans="4:12" ht="14.25" x14ac:dyDescent="0.2">
      <c r="D313" s="20"/>
      <c r="E313" s="20"/>
      <c r="F313" s="20"/>
      <c r="G313" s="20"/>
      <c r="H313" s="20"/>
      <c r="I313" s="20"/>
      <c r="J313" s="20"/>
      <c r="K313" s="20"/>
      <c r="L313" s="20"/>
    </row>
    <row r="314" spans="4:12" ht="14.25" x14ac:dyDescent="0.2">
      <c r="D314" s="20"/>
      <c r="E314" s="20"/>
      <c r="F314" s="20"/>
      <c r="G314" s="20"/>
      <c r="H314" s="20"/>
      <c r="I314" s="20"/>
      <c r="J314" s="20"/>
      <c r="K314" s="20"/>
      <c r="L314" s="20"/>
    </row>
    <row r="315" spans="4:12" ht="14.25" x14ac:dyDescent="0.2">
      <c r="D315" s="20"/>
      <c r="E315" s="20"/>
      <c r="F315" s="20"/>
      <c r="G315" s="20"/>
      <c r="H315" s="20"/>
      <c r="I315" s="20"/>
      <c r="J315" s="20"/>
      <c r="K315" s="20"/>
      <c r="L315" s="20"/>
    </row>
    <row r="316" spans="4:12" ht="14.25" x14ac:dyDescent="0.2">
      <c r="D316" s="20"/>
      <c r="E316" s="20"/>
      <c r="F316" s="20"/>
      <c r="G316" s="20"/>
      <c r="H316" s="20"/>
      <c r="I316" s="20"/>
      <c r="J316" s="20"/>
      <c r="K316" s="20"/>
      <c r="L316" s="20"/>
    </row>
    <row r="317" spans="4:12" ht="14.25" x14ac:dyDescent="0.2">
      <c r="D317" s="20"/>
      <c r="E317" s="20"/>
      <c r="F317" s="20"/>
      <c r="G317" s="20"/>
      <c r="H317" s="20"/>
      <c r="I317" s="20"/>
      <c r="J317" s="20"/>
      <c r="K317" s="20"/>
      <c r="L317" s="20"/>
    </row>
    <row r="318" spans="4:12" ht="14.25" x14ac:dyDescent="0.2">
      <c r="D318" s="20"/>
      <c r="E318" s="20"/>
      <c r="F318" s="20"/>
      <c r="G318" s="20"/>
      <c r="H318" s="20"/>
      <c r="I318" s="20"/>
      <c r="J318" s="20"/>
      <c r="K318" s="20"/>
      <c r="L318" s="20"/>
    </row>
    <row r="319" spans="4:12" ht="14.25" x14ac:dyDescent="0.2">
      <c r="D319" s="20"/>
      <c r="E319" s="20"/>
      <c r="F319" s="20"/>
      <c r="G319" s="20"/>
      <c r="H319" s="20"/>
      <c r="I319" s="20"/>
      <c r="J319" s="20"/>
      <c r="K319" s="20"/>
      <c r="L319" s="20"/>
    </row>
    <row r="320" spans="4:12" ht="14.25" x14ac:dyDescent="0.2">
      <c r="D320" s="20"/>
      <c r="E320" s="20"/>
      <c r="F320" s="20"/>
      <c r="G320" s="20"/>
      <c r="H320" s="20"/>
      <c r="I320" s="20"/>
      <c r="J320" s="20"/>
      <c r="K320" s="20"/>
      <c r="L320" s="20"/>
    </row>
    <row r="321" spans="4:12" ht="14.25" x14ac:dyDescent="0.2">
      <c r="D321" s="20"/>
      <c r="E321" s="20"/>
      <c r="F321" s="20"/>
      <c r="G321" s="20"/>
      <c r="H321" s="20"/>
      <c r="I321" s="20"/>
      <c r="J321" s="20"/>
      <c r="K321" s="20"/>
      <c r="L321" s="20"/>
    </row>
    <row r="322" spans="4:12" ht="14.25" x14ac:dyDescent="0.2">
      <c r="D322" s="20"/>
      <c r="E322" s="20"/>
      <c r="F322" s="20"/>
      <c r="G322" s="20"/>
      <c r="H322" s="20"/>
      <c r="I322" s="20"/>
      <c r="J322" s="20"/>
      <c r="K322" s="20"/>
      <c r="L322" s="20"/>
    </row>
    <row r="323" spans="4:12" ht="14.25" x14ac:dyDescent="0.2">
      <c r="D323" s="20"/>
      <c r="E323" s="20"/>
      <c r="F323" s="20"/>
      <c r="G323" s="20"/>
      <c r="H323" s="20"/>
      <c r="I323" s="20"/>
      <c r="J323" s="20"/>
      <c r="K323" s="20"/>
      <c r="L323" s="20"/>
    </row>
    <row r="324" spans="4:12" ht="14.25" x14ac:dyDescent="0.2">
      <c r="D324" s="20"/>
      <c r="E324" s="20"/>
      <c r="F324" s="20"/>
      <c r="G324" s="20"/>
      <c r="H324" s="20"/>
      <c r="I324" s="20"/>
      <c r="J324" s="20"/>
      <c r="K324" s="20"/>
      <c r="L324" s="20"/>
    </row>
    <row r="325" spans="4:12" ht="14.25" x14ac:dyDescent="0.2">
      <c r="D325" s="20"/>
      <c r="E325" s="20"/>
      <c r="F325" s="20"/>
      <c r="G325" s="20"/>
      <c r="H325" s="20"/>
      <c r="I325" s="20"/>
      <c r="J325" s="20"/>
      <c r="K325" s="20"/>
      <c r="L325" s="20"/>
    </row>
    <row r="326" spans="4:12" ht="14.25" x14ac:dyDescent="0.2">
      <c r="D326" s="20"/>
      <c r="E326" s="20"/>
      <c r="F326" s="20"/>
      <c r="G326" s="20"/>
      <c r="H326" s="20"/>
      <c r="I326" s="20"/>
      <c r="J326" s="20"/>
      <c r="K326" s="20"/>
      <c r="L326" s="20"/>
    </row>
    <row r="327" spans="4:12" ht="14.25" x14ac:dyDescent="0.2">
      <c r="D327" s="20"/>
      <c r="E327" s="20"/>
      <c r="F327" s="20"/>
      <c r="G327" s="20"/>
      <c r="H327" s="20"/>
      <c r="I327" s="20"/>
      <c r="J327" s="20"/>
      <c r="K327" s="20"/>
      <c r="L327" s="20"/>
    </row>
    <row r="328" spans="4:12" ht="14.25" x14ac:dyDescent="0.2">
      <c r="D328" s="20"/>
      <c r="E328" s="20"/>
      <c r="F328" s="20"/>
      <c r="G328" s="20"/>
      <c r="H328" s="20"/>
      <c r="I328" s="20"/>
      <c r="J328" s="20"/>
      <c r="K328" s="20"/>
      <c r="L328" s="20"/>
    </row>
    <row r="329" spans="4:12" ht="14.25" x14ac:dyDescent="0.2">
      <c r="D329" s="20"/>
      <c r="E329" s="20"/>
      <c r="F329" s="20"/>
      <c r="G329" s="20"/>
      <c r="H329" s="20"/>
      <c r="I329" s="20"/>
      <c r="J329" s="20"/>
      <c r="K329" s="20"/>
      <c r="L329" s="20"/>
    </row>
    <row r="330" spans="4:12" ht="14.25" x14ac:dyDescent="0.2">
      <c r="D330" s="20"/>
      <c r="E330" s="20"/>
      <c r="F330" s="20"/>
      <c r="G330" s="20"/>
      <c r="H330" s="20"/>
      <c r="I330" s="20"/>
      <c r="J330" s="20"/>
      <c r="K330" s="20"/>
      <c r="L330" s="20"/>
    </row>
    <row r="331" spans="4:12" ht="14.25" x14ac:dyDescent="0.2">
      <c r="D331" s="20"/>
      <c r="E331" s="20"/>
      <c r="F331" s="20"/>
      <c r="G331" s="20"/>
      <c r="H331" s="20"/>
      <c r="I331" s="20"/>
      <c r="J331" s="20"/>
      <c r="K331" s="20"/>
      <c r="L331" s="20"/>
    </row>
    <row r="332" spans="4:12" ht="14.25" x14ac:dyDescent="0.2">
      <c r="D332" s="20"/>
      <c r="E332" s="20"/>
      <c r="F332" s="20"/>
      <c r="G332" s="20"/>
      <c r="H332" s="20"/>
      <c r="I332" s="20"/>
      <c r="J332" s="20"/>
      <c r="K332" s="20"/>
      <c r="L332" s="20"/>
    </row>
    <row r="333" spans="4:12" ht="14.25" x14ac:dyDescent="0.2">
      <c r="D333" s="20"/>
      <c r="E333" s="20"/>
      <c r="F333" s="20"/>
      <c r="G333" s="20"/>
      <c r="H333" s="20"/>
      <c r="I333" s="20"/>
      <c r="J333" s="20"/>
      <c r="K333" s="20"/>
      <c r="L333" s="20"/>
    </row>
    <row r="334" spans="4:12" ht="14.25" x14ac:dyDescent="0.2">
      <c r="D334" s="20"/>
      <c r="E334" s="20"/>
      <c r="F334" s="20"/>
      <c r="G334" s="20"/>
      <c r="H334" s="20"/>
      <c r="I334" s="20"/>
      <c r="J334" s="20"/>
      <c r="K334" s="20"/>
      <c r="L334" s="20"/>
    </row>
    <row r="335" spans="4:12" ht="14.25" x14ac:dyDescent="0.2">
      <c r="D335" s="20"/>
      <c r="E335" s="20"/>
      <c r="F335" s="20"/>
      <c r="G335" s="20"/>
      <c r="H335" s="20"/>
      <c r="I335" s="20"/>
      <c r="J335" s="20"/>
      <c r="K335" s="20"/>
      <c r="L335" s="20"/>
    </row>
    <row r="336" spans="4:12" ht="14.25" x14ac:dyDescent="0.2">
      <c r="D336" s="20"/>
      <c r="E336" s="20"/>
      <c r="F336" s="20"/>
      <c r="G336" s="20"/>
      <c r="H336" s="20"/>
      <c r="I336" s="20"/>
      <c r="J336" s="20"/>
      <c r="K336" s="20"/>
      <c r="L336" s="20"/>
    </row>
    <row r="337" spans="4:12" ht="14.25" x14ac:dyDescent="0.2">
      <c r="D337" s="20"/>
      <c r="E337" s="20"/>
      <c r="F337" s="20"/>
      <c r="G337" s="20"/>
      <c r="H337" s="20"/>
      <c r="I337" s="20"/>
      <c r="J337" s="20"/>
      <c r="K337" s="20"/>
      <c r="L337" s="20"/>
    </row>
    <row r="338" spans="4:12" ht="14.25" x14ac:dyDescent="0.2">
      <c r="D338" s="20"/>
      <c r="E338" s="20"/>
      <c r="F338" s="20"/>
      <c r="G338" s="20"/>
      <c r="H338" s="20"/>
      <c r="I338" s="20"/>
      <c r="J338" s="20"/>
      <c r="K338" s="20"/>
      <c r="L338" s="20"/>
    </row>
    <row r="339" spans="4:12" ht="14.25" x14ac:dyDescent="0.2">
      <c r="D339" s="20"/>
      <c r="E339" s="20"/>
      <c r="F339" s="20"/>
      <c r="G339" s="20"/>
      <c r="H339" s="20"/>
      <c r="I339" s="20"/>
      <c r="J339" s="20"/>
      <c r="K339" s="20"/>
      <c r="L339" s="20"/>
    </row>
    <row r="340" spans="4:12" ht="14.25" x14ac:dyDescent="0.2">
      <c r="D340" s="20"/>
      <c r="E340" s="20"/>
      <c r="F340" s="20"/>
      <c r="G340" s="20"/>
      <c r="H340" s="20"/>
      <c r="I340" s="20"/>
      <c r="J340" s="20"/>
      <c r="K340" s="20"/>
      <c r="L340" s="20"/>
    </row>
    <row r="341" spans="4:12" ht="14.25" x14ac:dyDescent="0.2">
      <c r="D341" s="20"/>
      <c r="E341" s="20"/>
      <c r="F341" s="20"/>
      <c r="G341" s="20"/>
      <c r="H341" s="20"/>
      <c r="I341" s="20"/>
      <c r="J341" s="20"/>
      <c r="K341" s="20"/>
      <c r="L341" s="20"/>
    </row>
    <row r="342" spans="4:12" ht="14.25" x14ac:dyDescent="0.2">
      <c r="D342" s="20"/>
      <c r="E342" s="20"/>
      <c r="F342" s="20"/>
      <c r="G342" s="20"/>
      <c r="H342" s="20"/>
      <c r="I342" s="20"/>
      <c r="J342" s="20"/>
      <c r="K342" s="20"/>
      <c r="L342" s="20"/>
    </row>
    <row r="343" spans="4:12" ht="14.25" x14ac:dyDescent="0.2">
      <c r="D343" s="20"/>
      <c r="E343" s="20"/>
      <c r="F343" s="20"/>
      <c r="G343" s="20"/>
      <c r="H343" s="20"/>
      <c r="I343" s="20"/>
      <c r="J343" s="20"/>
      <c r="K343" s="20"/>
      <c r="L343" s="20"/>
    </row>
    <row r="344" spans="4:12" ht="14.25" x14ac:dyDescent="0.2">
      <c r="D344" s="20"/>
      <c r="E344" s="20"/>
      <c r="F344" s="20"/>
      <c r="G344" s="20"/>
      <c r="H344" s="20"/>
      <c r="I344" s="20"/>
      <c r="J344" s="20"/>
      <c r="K344" s="20"/>
      <c r="L344" s="20"/>
    </row>
    <row r="345" spans="4:12" ht="14.25" x14ac:dyDescent="0.2">
      <c r="D345" s="20"/>
      <c r="E345" s="20"/>
      <c r="F345" s="20"/>
      <c r="G345" s="20"/>
      <c r="H345" s="20"/>
      <c r="I345" s="20"/>
      <c r="J345" s="20"/>
      <c r="K345" s="20"/>
      <c r="L345" s="20"/>
    </row>
    <row r="346" spans="4:12" ht="14.25" x14ac:dyDescent="0.2">
      <c r="D346" s="20"/>
      <c r="E346" s="20"/>
      <c r="F346" s="20"/>
      <c r="G346" s="20"/>
      <c r="H346" s="20"/>
      <c r="I346" s="20"/>
      <c r="J346" s="20"/>
      <c r="K346" s="20"/>
      <c r="L346" s="20"/>
    </row>
    <row r="347" spans="4:12" ht="14.25" x14ac:dyDescent="0.2">
      <c r="D347" s="20"/>
      <c r="E347" s="20"/>
      <c r="F347" s="20"/>
      <c r="G347" s="20"/>
      <c r="H347" s="20"/>
      <c r="I347" s="20"/>
      <c r="J347" s="20"/>
      <c r="K347" s="20"/>
      <c r="L347" s="20"/>
    </row>
    <row r="348" spans="4:12" ht="14.25" x14ac:dyDescent="0.2">
      <c r="D348" s="20"/>
      <c r="E348" s="20"/>
      <c r="F348" s="20"/>
      <c r="G348" s="20"/>
      <c r="H348" s="20"/>
      <c r="I348" s="20"/>
      <c r="J348" s="20"/>
      <c r="K348" s="20"/>
      <c r="L348" s="20"/>
    </row>
    <row r="349" spans="4:12" ht="14.25" x14ac:dyDescent="0.2">
      <c r="D349" s="20"/>
      <c r="E349" s="20"/>
      <c r="F349" s="20"/>
      <c r="G349" s="20"/>
      <c r="H349" s="20"/>
      <c r="I349" s="20"/>
      <c r="J349" s="20"/>
      <c r="K349" s="20"/>
      <c r="L349" s="20"/>
    </row>
    <row r="350" spans="4:12" ht="14.25" x14ac:dyDescent="0.2">
      <c r="D350" s="20"/>
      <c r="E350" s="20"/>
      <c r="F350" s="20"/>
      <c r="G350" s="20"/>
      <c r="H350" s="20"/>
      <c r="I350" s="20"/>
      <c r="J350" s="20"/>
      <c r="K350" s="20"/>
      <c r="L350" s="20"/>
    </row>
    <row r="351" spans="4:12" ht="14.25" x14ac:dyDescent="0.2">
      <c r="D351" s="20"/>
      <c r="E351" s="20"/>
      <c r="F351" s="20"/>
      <c r="G351" s="20"/>
      <c r="H351" s="20"/>
      <c r="I351" s="20"/>
      <c r="J351" s="20"/>
      <c r="K351" s="20"/>
      <c r="L351" s="20"/>
    </row>
    <row r="352" spans="4:12" ht="14.25" x14ac:dyDescent="0.2">
      <c r="D352" s="20"/>
      <c r="E352" s="20"/>
      <c r="F352" s="20"/>
      <c r="G352" s="20"/>
      <c r="H352" s="20"/>
      <c r="I352" s="20"/>
      <c r="J352" s="20"/>
      <c r="K352" s="20"/>
      <c r="L352" s="20"/>
    </row>
    <row r="353" spans="4:12" ht="14.25" x14ac:dyDescent="0.2">
      <c r="D353" s="20"/>
      <c r="E353" s="20"/>
      <c r="F353" s="20"/>
      <c r="G353" s="20"/>
      <c r="H353" s="20"/>
      <c r="I353" s="20"/>
      <c r="J353" s="20"/>
      <c r="K353" s="20"/>
      <c r="L353" s="20"/>
    </row>
    <row r="354" spans="4:12" ht="14.25" x14ac:dyDescent="0.2">
      <c r="D354" s="20"/>
      <c r="E354" s="20"/>
      <c r="F354" s="20"/>
      <c r="G354" s="20"/>
      <c r="H354" s="20"/>
      <c r="I354" s="20"/>
      <c r="J354" s="20"/>
      <c r="K354" s="20"/>
      <c r="L354" s="20"/>
    </row>
    <row r="355" spans="4:12" ht="14.25" x14ac:dyDescent="0.2">
      <c r="D355" s="20"/>
      <c r="E355" s="20"/>
      <c r="F355" s="20"/>
      <c r="G355" s="20"/>
      <c r="H355" s="20"/>
      <c r="I355" s="20"/>
      <c r="J355" s="20"/>
      <c r="K355" s="20"/>
      <c r="L355" s="20"/>
    </row>
    <row r="356" spans="4:12" ht="14.25" x14ac:dyDescent="0.2">
      <c r="D356" s="20"/>
      <c r="E356" s="20"/>
      <c r="F356" s="20"/>
      <c r="G356" s="20"/>
      <c r="H356" s="20"/>
      <c r="I356" s="20"/>
      <c r="J356" s="20"/>
      <c r="K356" s="20"/>
      <c r="L356" s="20"/>
    </row>
    <row r="357" spans="4:12" ht="14.25" x14ac:dyDescent="0.2">
      <c r="D357" s="20"/>
      <c r="E357" s="20"/>
      <c r="F357" s="20"/>
      <c r="G357" s="20"/>
      <c r="H357" s="20"/>
      <c r="I357" s="20"/>
      <c r="J357" s="20"/>
      <c r="K357" s="20"/>
      <c r="L357" s="20"/>
    </row>
    <row r="358" spans="4:12" ht="14.25" x14ac:dyDescent="0.2">
      <c r="D358" s="20"/>
      <c r="E358" s="20"/>
      <c r="F358" s="20"/>
      <c r="G358" s="20"/>
      <c r="H358" s="20"/>
      <c r="I358" s="20"/>
      <c r="J358" s="20"/>
      <c r="K358" s="20"/>
      <c r="L358" s="20"/>
    </row>
    <row r="359" spans="4:12" ht="14.25" x14ac:dyDescent="0.2">
      <c r="D359" s="20"/>
      <c r="E359" s="20"/>
      <c r="F359" s="20"/>
      <c r="G359" s="20"/>
      <c r="H359" s="20"/>
      <c r="I359" s="20"/>
      <c r="J359" s="20"/>
      <c r="K359" s="20"/>
      <c r="L359" s="20"/>
    </row>
    <row r="360" spans="4:12" ht="14.25" x14ac:dyDescent="0.2">
      <c r="D360" s="20"/>
      <c r="E360" s="20"/>
      <c r="F360" s="20"/>
      <c r="G360" s="20"/>
      <c r="H360" s="20"/>
      <c r="I360" s="20"/>
      <c r="J360" s="20"/>
      <c r="K360" s="20"/>
      <c r="L360" s="20"/>
    </row>
    <row r="361" spans="4:12" ht="14.25" x14ac:dyDescent="0.2">
      <c r="D361" s="20"/>
      <c r="E361" s="20"/>
      <c r="F361" s="20"/>
      <c r="G361" s="20"/>
      <c r="H361" s="20"/>
      <c r="I361" s="20"/>
      <c r="J361" s="20"/>
      <c r="K361" s="20"/>
      <c r="L361" s="20"/>
    </row>
    <row r="362" spans="4:12" ht="14.25" x14ac:dyDescent="0.2">
      <c r="D362" s="20"/>
      <c r="E362" s="20"/>
      <c r="F362" s="20"/>
      <c r="G362" s="20"/>
      <c r="H362" s="20"/>
      <c r="I362" s="20"/>
      <c r="J362" s="20"/>
      <c r="K362" s="20"/>
      <c r="L362" s="20"/>
    </row>
    <row r="363" spans="4:12" ht="14.25" x14ac:dyDescent="0.2">
      <c r="D363" s="20"/>
      <c r="E363" s="20"/>
      <c r="F363" s="20"/>
      <c r="G363" s="20"/>
      <c r="H363" s="20"/>
      <c r="I363" s="20"/>
      <c r="J363" s="20"/>
      <c r="K363" s="20"/>
      <c r="L363" s="20"/>
    </row>
    <row r="364" spans="4:12" ht="14.25" x14ac:dyDescent="0.2">
      <c r="D364" s="20"/>
      <c r="E364" s="20"/>
      <c r="F364" s="20"/>
      <c r="G364" s="20"/>
      <c r="H364" s="20"/>
      <c r="I364" s="20"/>
      <c r="J364" s="20"/>
      <c r="K364" s="20"/>
      <c r="L364" s="20"/>
    </row>
    <row r="365" spans="4:12" ht="14.25" x14ac:dyDescent="0.2">
      <c r="D365" s="20"/>
      <c r="E365" s="20"/>
      <c r="F365" s="20"/>
      <c r="G365" s="20"/>
      <c r="H365" s="20"/>
      <c r="I365" s="20"/>
      <c r="J365" s="20"/>
      <c r="K365" s="20"/>
      <c r="L365" s="20"/>
    </row>
    <row r="366" spans="4:12" ht="14.25" x14ac:dyDescent="0.2">
      <c r="D366" s="20"/>
      <c r="E366" s="20"/>
      <c r="F366" s="20"/>
      <c r="G366" s="20"/>
      <c r="H366" s="20"/>
      <c r="I366" s="20"/>
      <c r="J366" s="20"/>
      <c r="K366" s="20"/>
      <c r="L366" s="20"/>
    </row>
    <row r="367" spans="4:12" ht="14.25" x14ac:dyDescent="0.2">
      <c r="D367" s="20"/>
      <c r="E367" s="20"/>
      <c r="F367" s="20"/>
      <c r="G367" s="20"/>
      <c r="H367" s="20"/>
      <c r="I367" s="20"/>
      <c r="J367" s="20"/>
      <c r="K367" s="20"/>
      <c r="L367" s="20"/>
    </row>
    <row r="368" spans="4:12" ht="14.25" x14ac:dyDescent="0.2">
      <c r="D368" s="20"/>
      <c r="E368" s="20"/>
      <c r="F368" s="20"/>
      <c r="G368" s="20"/>
      <c r="H368" s="20"/>
      <c r="I368" s="20"/>
      <c r="J368" s="20"/>
      <c r="K368" s="20"/>
      <c r="L368" s="20"/>
    </row>
    <row r="369" spans="4:12" ht="14.25" x14ac:dyDescent="0.2">
      <c r="D369" s="20"/>
      <c r="E369" s="20"/>
      <c r="F369" s="20"/>
      <c r="G369" s="20"/>
      <c r="H369" s="20"/>
      <c r="I369" s="20"/>
      <c r="J369" s="20"/>
      <c r="K369" s="20"/>
      <c r="L369" s="20"/>
    </row>
    <row r="370" spans="4:12" ht="14.25" x14ac:dyDescent="0.2">
      <c r="D370" s="20"/>
      <c r="E370" s="20"/>
      <c r="F370" s="20"/>
      <c r="G370" s="20"/>
      <c r="H370" s="20"/>
      <c r="I370" s="20"/>
      <c r="J370" s="20"/>
      <c r="K370" s="20"/>
      <c r="L370" s="20"/>
    </row>
    <row r="371" spans="4:12" ht="14.25" x14ac:dyDescent="0.2">
      <c r="D371" s="20"/>
      <c r="E371" s="20"/>
      <c r="F371" s="20"/>
      <c r="G371" s="20"/>
      <c r="H371" s="20"/>
      <c r="I371" s="20"/>
      <c r="J371" s="20"/>
      <c r="K371" s="20"/>
      <c r="L371" s="20"/>
    </row>
    <row r="372" spans="4:12" ht="14.25" x14ac:dyDescent="0.2">
      <c r="D372" s="20"/>
      <c r="E372" s="20"/>
      <c r="F372" s="20"/>
      <c r="G372" s="20"/>
      <c r="H372" s="20"/>
      <c r="I372" s="20"/>
      <c r="J372" s="20"/>
      <c r="K372" s="20"/>
      <c r="L372" s="20"/>
    </row>
    <row r="373" spans="4:12" ht="14.25" x14ac:dyDescent="0.2">
      <c r="D373" s="20"/>
      <c r="E373" s="20"/>
      <c r="F373" s="20"/>
      <c r="G373" s="20"/>
      <c r="H373" s="20"/>
      <c r="I373" s="20"/>
      <c r="J373" s="20"/>
      <c r="K373" s="20"/>
      <c r="L373" s="20"/>
    </row>
    <row r="374" spans="4:12" ht="14.25" x14ac:dyDescent="0.2">
      <c r="D374" s="20"/>
      <c r="E374" s="20"/>
      <c r="F374" s="20"/>
      <c r="G374" s="20"/>
      <c r="H374" s="20"/>
      <c r="I374" s="20"/>
      <c r="J374" s="20"/>
      <c r="K374" s="20"/>
      <c r="L374" s="20"/>
    </row>
    <row r="375" spans="4:12" ht="14.25" x14ac:dyDescent="0.2">
      <c r="D375" s="20"/>
      <c r="E375" s="20"/>
      <c r="F375" s="20"/>
      <c r="G375" s="20"/>
      <c r="H375" s="20"/>
      <c r="I375" s="20"/>
      <c r="J375" s="20"/>
      <c r="K375" s="20"/>
      <c r="L375" s="20"/>
    </row>
    <row r="376" spans="4:12" ht="14.25" x14ac:dyDescent="0.2">
      <c r="D376" s="20"/>
      <c r="E376" s="20"/>
      <c r="F376" s="20"/>
      <c r="G376" s="20"/>
      <c r="H376" s="20"/>
      <c r="I376" s="20"/>
      <c r="J376" s="20"/>
      <c r="K376" s="20"/>
      <c r="L376" s="20"/>
    </row>
    <row r="377" spans="4:12" ht="14.25" x14ac:dyDescent="0.2">
      <c r="D377" s="20"/>
      <c r="E377" s="20"/>
      <c r="F377" s="20"/>
      <c r="G377" s="20"/>
      <c r="H377" s="20"/>
      <c r="I377" s="20"/>
      <c r="J377" s="20"/>
      <c r="K377" s="20"/>
      <c r="L377" s="20"/>
    </row>
    <row r="378" spans="4:12" ht="14.25" x14ac:dyDescent="0.2">
      <c r="D378" s="20"/>
      <c r="E378" s="20"/>
      <c r="F378" s="20"/>
      <c r="G378" s="20"/>
      <c r="H378" s="20"/>
      <c r="I378" s="20"/>
      <c r="J378" s="20"/>
      <c r="K378" s="20"/>
      <c r="L378" s="20"/>
    </row>
    <row r="379" spans="4:12" ht="14.25" x14ac:dyDescent="0.2">
      <c r="D379" s="20"/>
      <c r="E379" s="20"/>
      <c r="F379" s="20"/>
      <c r="G379" s="20"/>
      <c r="H379" s="20"/>
      <c r="I379" s="20"/>
      <c r="J379" s="20"/>
      <c r="K379" s="20"/>
      <c r="L379" s="20"/>
    </row>
    <row r="380" spans="4:12" ht="14.25" x14ac:dyDescent="0.2">
      <c r="D380" s="20"/>
      <c r="E380" s="20"/>
      <c r="F380" s="20"/>
      <c r="G380" s="20"/>
      <c r="H380" s="20"/>
      <c r="I380" s="20"/>
      <c r="J380" s="20"/>
      <c r="K380" s="20"/>
      <c r="L380" s="20"/>
    </row>
    <row r="381" spans="4:12" ht="14.25" x14ac:dyDescent="0.2">
      <c r="D381" s="20"/>
      <c r="E381" s="20"/>
      <c r="F381" s="20"/>
      <c r="G381" s="20"/>
      <c r="H381" s="20"/>
      <c r="I381" s="20"/>
      <c r="J381" s="20"/>
      <c r="K381" s="20"/>
      <c r="L381" s="20"/>
    </row>
    <row r="382" spans="4:12" ht="14.25" x14ac:dyDescent="0.2">
      <c r="D382" s="20"/>
      <c r="E382" s="20"/>
      <c r="F382" s="20"/>
      <c r="G382" s="20"/>
      <c r="H382" s="20"/>
      <c r="I382" s="20"/>
      <c r="J382" s="20"/>
      <c r="K382" s="20"/>
      <c r="L382" s="20"/>
    </row>
    <row r="383" spans="4:12" ht="14.25" x14ac:dyDescent="0.2">
      <c r="D383" s="20"/>
      <c r="E383" s="20"/>
      <c r="F383" s="20"/>
      <c r="G383" s="20"/>
      <c r="H383" s="20"/>
      <c r="I383" s="20"/>
      <c r="J383" s="20"/>
      <c r="K383" s="20"/>
      <c r="L383" s="20"/>
    </row>
    <row r="384" spans="4:12" ht="14.25" x14ac:dyDescent="0.2">
      <c r="D384" s="20"/>
      <c r="E384" s="20"/>
      <c r="F384" s="20"/>
      <c r="G384" s="20"/>
      <c r="H384" s="20"/>
      <c r="I384" s="20"/>
      <c r="J384" s="20"/>
      <c r="K384" s="20"/>
      <c r="L384" s="20"/>
    </row>
    <row r="385" spans="4:12" ht="14.25" x14ac:dyDescent="0.2">
      <c r="D385" s="20"/>
      <c r="E385" s="20"/>
      <c r="F385" s="20"/>
      <c r="G385" s="20"/>
      <c r="H385" s="20"/>
      <c r="I385" s="20"/>
      <c r="J385" s="20"/>
      <c r="K385" s="20"/>
      <c r="L385" s="20"/>
    </row>
    <row r="386" spans="4:12" ht="14.25" x14ac:dyDescent="0.2">
      <c r="D386" s="20"/>
      <c r="E386" s="20"/>
      <c r="F386" s="20"/>
      <c r="G386" s="20"/>
      <c r="H386" s="20"/>
      <c r="I386" s="20"/>
      <c r="J386" s="20"/>
      <c r="K386" s="20"/>
      <c r="L386" s="20"/>
    </row>
    <row r="387" spans="4:12" ht="14.25" x14ac:dyDescent="0.2">
      <c r="D387" s="20"/>
      <c r="E387" s="20"/>
      <c r="F387" s="20"/>
      <c r="G387" s="20"/>
      <c r="H387" s="20"/>
      <c r="I387" s="20"/>
      <c r="J387" s="20"/>
      <c r="K387" s="20"/>
      <c r="L387" s="20"/>
    </row>
    <row r="388" spans="4:12" ht="14.25" x14ac:dyDescent="0.2">
      <c r="D388" s="20"/>
      <c r="E388" s="20"/>
      <c r="F388" s="20"/>
      <c r="G388" s="20"/>
      <c r="H388" s="20"/>
      <c r="I388" s="20"/>
      <c r="J388" s="20"/>
      <c r="K388" s="20"/>
      <c r="L388" s="20"/>
    </row>
    <row r="389" spans="4:12" ht="14.25" x14ac:dyDescent="0.2">
      <c r="D389" s="20"/>
      <c r="E389" s="20"/>
      <c r="F389" s="20"/>
      <c r="G389" s="20"/>
      <c r="H389" s="20"/>
      <c r="I389" s="20"/>
      <c r="J389" s="20"/>
      <c r="K389" s="20"/>
      <c r="L389" s="20"/>
    </row>
    <row r="390" spans="4:12" ht="14.25" x14ac:dyDescent="0.2">
      <c r="D390" s="20"/>
      <c r="E390" s="20"/>
      <c r="F390" s="20"/>
      <c r="G390" s="20"/>
      <c r="H390" s="20"/>
      <c r="I390" s="20"/>
      <c r="J390" s="20"/>
      <c r="K390" s="20"/>
      <c r="L390" s="20"/>
    </row>
    <row r="391" spans="4:12" ht="14.25" x14ac:dyDescent="0.2">
      <c r="D391" s="20"/>
      <c r="E391" s="20"/>
      <c r="F391" s="20"/>
      <c r="G391" s="20"/>
      <c r="H391" s="20"/>
      <c r="I391" s="20"/>
      <c r="J391" s="20"/>
      <c r="K391" s="20"/>
      <c r="L391" s="20"/>
    </row>
    <row r="392" spans="4:12" ht="14.25" x14ac:dyDescent="0.2">
      <c r="D392" s="20"/>
      <c r="E392" s="20"/>
      <c r="F392" s="20"/>
      <c r="G392" s="20"/>
      <c r="H392" s="20"/>
      <c r="I392" s="20"/>
      <c r="J392" s="20"/>
      <c r="K392" s="20"/>
      <c r="L392" s="20"/>
    </row>
    <row r="393" spans="4:12" ht="14.25" x14ac:dyDescent="0.2">
      <c r="D393" s="20"/>
      <c r="E393" s="20"/>
      <c r="F393" s="20"/>
      <c r="G393" s="20"/>
      <c r="H393" s="20"/>
      <c r="I393" s="20"/>
      <c r="J393" s="20"/>
      <c r="K393" s="20"/>
      <c r="L393" s="20"/>
    </row>
    <row r="394" spans="4:12" ht="14.25" x14ac:dyDescent="0.2">
      <c r="D394" s="20"/>
      <c r="E394" s="20"/>
      <c r="F394" s="20"/>
      <c r="G394" s="20"/>
      <c r="H394" s="20"/>
      <c r="I394" s="20"/>
      <c r="J394" s="20"/>
      <c r="K394" s="20"/>
      <c r="L394" s="20"/>
    </row>
    <row r="395" spans="4:12" ht="14.25" x14ac:dyDescent="0.2">
      <c r="D395" s="20"/>
      <c r="E395" s="20"/>
      <c r="F395" s="20"/>
      <c r="G395" s="20"/>
      <c r="H395" s="20"/>
      <c r="I395" s="20"/>
      <c r="J395" s="20"/>
      <c r="K395" s="20"/>
      <c r="L395" s="20"/>
    </row>
    <row r="396" spans="4:12" ht="14.25" x14ac:dyDescent="0.2">
      <c r="D396" s="20"/>
      <c r="E396" s="20"/>
      <c r="F396" s="20"/>
      <c r="G396" s="20"/>
      <c r="H396" s="20"/>
      <c r="I396" s="20"/>
      <c r="J396" s="20"/>
      <c r="K396" s="20"/>
      <c r="L396" s="20"/>
    </row>
    <row r="397" spans="4:12" ht="14.25" x14ac:dyDescent="0.2">
      <c r="D397" s="20"/>
      <c r="E397" s="20"/>
      <c r="F397" s="20"/>
      <c r="G397" s="20"/>
      <c r="H397" s="20"/>
      <c r="I397" s="20"/>
      <c r="J397" s="20"/>
      <c r="K397" s="20"/>
      <c r="L397" s="20"/>
    </row>
    <row r="398" spans="4:12" ht="14.25" x14ac:dyDescent="0.2">
      <c r="D398" s="20"/>
      <c r="E398" s="20"/>
      <c r="F398" s="20"/>
      <c r="G398" s="20"/>
      <c r="H398" s="20"/>
      <c r="I398" s="20"/>
      <c r="J398" s="20"/>
      <c r="K398" s="20"/>
      <c r="L398" s="20"/>
    </row>
    <row r="399" spans="4:12" ht="14.25" x14ac:dyDescent="0.2">
      <c r="D399" s="20"/>
      <c r="E399" s="20"/>
      <c r="F399" s="20"/>
      <c r="G399" s="20"/>
      <c r="H399" s="20"/>
      <c r="I399" s="20"/>
      <c r="J399" s="20"/>
      <c r="K399" s="20"/>
      <c r="L399" s="20"/>
    </row>
    <row r="400" spans="4:12" ht="14.25" x14ac:dyDescent="0.2">
      <c r="D400" s="20"/>
      <c r="E400" s="20"/>
      <c r="F400" s="20"/>
      <c r="G400" s="20"/>
      <c r="H400" s="20"/>
      <c r="I400" s="20"/>
      <c r="J400" s="20"/>
      <c r="K400" s="20"/>
      <c r="L400" s="20"/>
    </row>
    <row r="401" spans="4:12" ht="14.25" x14ac:dyDescent="0.2">
      <c r="D401" s="20"/>
      <c r="E401" s="20"/>
      <c r="F401" s="20"/>
      <c r="G401" s="20"/>
      <c r="H401" s="20"/>
      <c r="I401" s="20"/>
      <c r="J401" s="20"/>
      <c r="K401" s="20"/>
      <c r="L401" s="20"/>
    </row>
    <row r="402" spans="4:12" ht="14.25" x14ac:dyDescent="0.2">
      <c r="D402" s="20"/>
      <c r="E402" s="20"/>
      <c r="F402" s="20"/>
      <c r="G402" s="20"/>
      <c r="H402" s="20"/>
      <c r="I402" s="20"/>
      <c r="J402" s="20"/>
      <c r="K402" s="20"/>
      <c r="L402" s="20"/>
    </row>
    <row r="403" spans="4:12" ht="14.25" x14ac:dyDescent="0.2">
      <c r="D403" s="20"/>
      <c r="E403" s="20"/>
      <c r="F403" s="20"/>
      <c r="G403" s="20"/>
      <c r="H403" s="20"/>
      <c r="I403" s="20"/>
      <c r="J403" s="20"/>
      <c r="K403" s="20"/>
      <c r="L403" s="20"/>
    </row>
    <row r="404" spans="4:12" ht="14.25" x14ac:dyDescent="0.2">
      <c r="D404" s="20"/>
      <c r="E404" s="20"/>
      <c r="F404" s="20"/>
      <c r="G404" s="20"/>
      <c r="H404" s="20"/>
      <c r="I404" s="20"/>
      <c r="J404" s="20"/>
      <c r="K404" s="20"/>
      <c r="L404" s="20"/>
    </row>
    <row r="405" spans="4:12" ht="14.25" x14ac:dyDescent="0.2">
      <c r="D405" s="20"/>
      <c r="E405" s="20"/>
      <c r="F405" s="20"/>
      <c r="G405" s="20"/>
      <c r="H405" s="20"/>
      <c r="I405" s="20"/>
      <c r="J405" s="20"/>
      <c r="K405" s="20"/>
      <c r="L405" s="20"/>
    </row>
    <row r="406" spans="4:12" ht="14.25" x14ac:dyDescent="0.2">
      <c r="D406" s="20"/>
      <c r="E406" s="20"/>
      <c r="F406" s="20"/>
      <c r="G406" s="20"/>
      <c r="H406" s="20"/>
      <c r="I406" s="20"/>
      <c r="J406" s="20"/>
      <c r="K406" s="20"/>
      <c r="L406" s="20"/>
    </row>
    <row r="407" spans="4:12" ht="14.25" x14ac:dyDescent="0.2">
      <c r="D407" s="20"/>
      <c r="E407" s="20"/>
      <c r="F407" s="20"/>
      <c r="G407" s="20"/>
      <c r="H407" s="20"/>
      <c r="I407" s="20"/>
      <c r="J407" s="20"/>
      <c r="K407" s="20"/>
      <c r="L407" s="20"/>
    </row>
    <row r="408" spans="4:12" ht="14.25" x14ac:dyDescent="0.2">
      <c r="D408" s="20"/>
      <c r="E408" s="20"/>
      <c r="F408" s="20"/>
      <c r="G408" s="20"/>
      <c r="H408" s="20"/>
      <c r="I408" s="20"/>
      <c r="J408" s="20"/>
      <c r="K408" s="20"/>
      <c r="L408" s="20"/>
    </row>
    <row r="409" spans="4:12" ht="14.25" x14ac:dyDescent="0.2">
      <c r="D409" s="20"/>
      <c r="E409" s="20"/>
      <c r="F409" s="20"/>
      <c r="G409" s="20"/>
      <c r="H409" s="20"/>
      <c r="I409" s="20"/>
      <c r="J409" s="20"/>
      <c r="K409" s="20"/>
      <c r="L409" s="20"/>
    </row>
    <row r="410" spans="4:12" ht="14.25" x14ac:dyDescent="0.2">
      <c r="D410" s="20"/>
      <c r="E410" s="20"/>
      <c r="F410" s="20"/>
      <c r="G410" s="20"/>
      <c r="H410" s="20"/>
      <c r="I410" s="20"/>
      <c r="J410" s="20"/>
      <c r="K410" s="20"/>
      <c r="L410" s="20"/>
    </row>
    <row r="411" spans="4:12" ht="14.25" x14ac:dyDescent="0.2">
      <c r="D411" s="20"/>
      <c r="E411" s="20"/>
      <c r="F411" s="20"/>
      <c r="G411" s="20"/>
      <c r="H411" s="20"/>
      <c r="I411" s="20"/>
      <c r="J411" s="20"/>
      <c r="K411" s="20"/>
      <c r="L411" s="20"/>
    </row>
    <row r="412" spans="4:12" ht="14.25" x14ac:dyDescent="0.2">
      <c r="D412" s="20"/>
      <c r="E412" s="20"/>
      <c r="F412" s="20"/>
      <c r="G412" s="20"/>
      <c r="H412" s="20"/>
      <c r="I412" s="20"/>
      <c r="J412" s="20"/>
      <c r="K412" s="20"/>
      <c r="L412" s="20"/>
    </row>
    <row r="413" spans="4:12" ht="14.25" x14ac:dyDescent="0.2">
      <c r="D413" s="20"/>
      <c r="E413" s="20"/>
      <c r="F413" s="20"/>
      <c r="G413" s="20"/>
      <c r="H413" s="20"/>
      <c r="I413" s="20"/>
      <c r="J413" s="20"/>
      <c r="K413" s="20"/>
      <c r="L413" s="20"/>
    </row>
    <row r="414" spans="4:12" ht="14.25" x14ac:dyDescent="0.2">
      <c r="D414" s="20"/>
      <c r="E414" s="20"/>
      <c r="F414" s="20"/>
      <c r="G414" s="20"/>
      <c r="H414" s="20"/>
      <c r="I414" s="20"/>
      <c r="J414" s="20"/>
      <c r="K414" s="20"/>
      <c r="L414" s="20"/>
    </row>
    <row r="415" spans="4:12" ht="14.25" x14ac:dyDescent="0.2">
      <c r="D415" s="20"/>
      <c r="E415" s="20"/>
      <c r="F415" s="20"/>
      <c r="G415" s="20"/>
      <c r="H415" s="20"/>
      <c r="I415" s="20"/>
      <c r="J415" s="20"/>
      <c r="K415" s="20"/>
      <c r="L415" s="20"/>
    </row>
    <row r="416" spans="4:12" ht="14.25" x14ac:dyDescent="0.2">
      <c r="D416" s="20"/>
      <c r="E416" s="20"/>
      <c r="F416" s="20"/>
      <c r="G416" s="20"/>
      <c r="H416" s="20"/>
      <c r="I416" s="20"/>
      <c r="J416" s="20"/>
      <c r="K416" s="20"/>
      <c r="L416" s="20"/>
    </row>
    <row r="417" spans="4:12" ht="14.25" x14ac:dyDescent="0.2">
      <c r="D417" s="20"/>
      <c r="E417" s="20"/>
      <c r="F417" s="20"/>
      <c r="G417" s="20"/>
      <c r="H417" s="20"/>
      <c r="I417" s="20"/>
      <c r="J417" s="20"/>
      <c r="K417" s="20"/>
      <c r="L417" s="20"/>
    </row>
    <row r="418" spans="4:12" ht="14.25" x14ac:dyDescent="0.2">
      <c r="D418" s="20"/>
      <c r="E418" s="20"/>
      <c r="F418" s="20"/>
      <c r="G418" s="20"/>
      <c r="H418" s="20"/>
      <c r="I418" s="20"/>
      <c r="J418" s="20"/>
      <c r="K418" s="20"/>
      <c r="L418" s="20"/>
    </row>
    <row r="419" spans="4:12" ht="14.25" x14ac:dyDescent="0.2">
      <c r="D419" s="20"/>
      <c r="E419" s="20"/>
      <c r="F419" s="20"/>
      <c r="G419" s="20"/>
      <c r="H419" s="20"/>
      <c r="I419" s="20"/>
      <c r="J419" s="20"/>
      <c r="K419" s="20"/>
      <c r="L419" s="20"/>
    </row>
    <row r="420" spans="4:12" ht="14.25" x14ac:dyDescent="0.2">
      <c r="D420" s="20"/>
      <c r="E420" s="20"/>
      <c r="F420" s="20"/>
      <c r="G420" s="20"/>
      <c r="H420" s="20"/>
      <c r="I420" s="20"/>
      <c r="J420" s="20"/>
      <c r="K420" s="20"/>
      <c r="L420" s="20"/>
    </row>
    <row r="421" spans="4:12" ht="14.25" x14ac:dyDescent="0.2">
      <c r="D421" s="20"/>
      <c r="E421" s="20"/>
      <c r="F421" s="20"/>
      <c r="G421" s="20"/>
      <c r="H421" s="20"/>
      <c r="I421" s="20"/>
      <c r="J421" s="20"/>
      <c r="K421" s="20"/>
      <c r="L421" s="20"/>
    </row>
    <row r="422" spans="4:12" ht="14.25" x14ac:dyDescent="0.2">
      <c r="D422" s="20"/>
      <c r="E422" s="20"/>
      <c r="F422" s="20"/>
      <c r="G422" s="20"/>
      <c r="H422" s="20"/>
      <c r="I422" s="20"/>
      <c r="J422" s="20"/>
      <c r="K422" s="20"/>
      <c r="L422" s="20"/>
    </row>
    <row r="423" spans="4:12" ht="14.25" x14ac:dyDescent="0.2">
      <c r="D423" s="20"/>
      <c r="E423" s="20"/>
      <c r="F423" s="20"/>
      <c r="G423" s="20"/>
      <c r="H423" s="20"/>
      <c r="I423" s="20"/>
      <c r="J423" s="20"/>
      <c r="K423" s="20"/>
      <c r="L423" s="20"/>
    </row>
    <row r="424" spans="4:12" ht="14.25" x14ac:dyDescent="0.2">
      <c r="D424" s="20"/>
      <c r="E424" s="20"/>
      <c r="F424" s="20"/>
      <c r="G424" s="20"/>
      <c r="H424" s="20"/>
      <c r="I424" s="20"/>
      <c r="J424" s="20"/>
      <c r="K424" s="20"/>
      <c r="L424" s="20"/>
    </row>
    <row r="425" spans="4:12" ht="14.25" x14ac:dyDescent="0.2">
      <c r="D425" s="20"/>
      <c r="E425" s="20"/>
      <c r="F425" s="20"/>
      <c r="G425" s="20"/>
      <c r="H425" s="20"/>
      <c r="I425" s="20"/>
      <c r="J425" s="20"/>
      <c r="K425" s="20"/>
      <c r="L425" s="20"/>
    </row>
    <row r="426" spans="4:12" ht="14.25" x14ac:dyDescent="0.2">
      <c r="D426" s="20"/>
      <c r="E426" s="20"/>
      <c r="F426" s="20"/>
      <c r="G426" s="20"/>
      <c r="H426" s="20"/>
      <c r="I426" s="20"/>
      <c r="J426" s="20"/>
      <c r="K426" s="20"/>
      <c r="L426" s="20"/>
    </row>
    <row r="427" spans="4:12" ht="14.25" x14ac:dyDescent="0.2">
      <c r="D427" s="20"/>
      <c r="E427" s="20"/>
      <c r="F427" s="20"/>
      <c r="G427" s="20"/>
      <c r="H427" s="20"/>
      <c r="I427" s="20"/>
      <c r="J427" s="20"/>
      <c r="K427" s="20"/>
      <c r="L427" s="20"/>
    </row>
    <row r="428" spans="4:12" ht="14.25" x14ac:dyDescent="0.2">
      <c r="D428" s="20"/>
      <c r="E428" s="20"/>
      <c r="F428" s="20"/>
      <c r="G428" s="20"/>
      <c r="H428" s="20"/>
      <c r="I428" s="20"/>
      <c r="J428" s="20"/>
      <c r="K428" s="20"/>
      <c r="L428" s="20"/>
    </row>
    <row r="429" spans="4:12" ht="14.25" x14ac:dyDescent="0.2">
      <c r="D429" s="20"/>
      <c r="E429" s="20"/>
      <c r="F429" s="20"/>
      <c r="G429" s="20"/>
      <c r="H429" s="20"/>
      <c r="I429" s="20"/>
      <c r="J429" s="20"/>
      <c r="K429" s="20"/>
      <c r="L429" s="20"/>
    </row>
    <row r="430" spans="4:12" ht="14.25" x14ac:dyDescent="0.2">
      <c r="D430" s="20"/>
      <c r="E430" s="20"/>
      <c r="F430" s="20"/>
      <c r="G430" s="20"/>
      <c r="H430" s="20"/>
      <c r="I430" s="20"/>
      <c r="J430" s="20"/>
      <c r="K430" s="20"/>
      <c r="L430" s="20"/>
    </row>
    <row r="431" spans="4:12" ht="14.25" x14ac:dyDescent="0.2">
      <c r="D431" s="20"/>
      <c r="E431" s="20"/>
      <c r="F431" s="20"/>
      <c r="G431" s="20"/>
      <c r="H431" s="20"/>
      <c r="I431" s="20"/>
      <c r="J431" s="20"/>
      <c r="K431" s="20"/>
      <c r="L431" s="20"/>
    </row>
    <row r="432" spans="4:12" ht="14.25" x14ac:dyDescent="0.2">
      <c r="D432" s="20"/>
      <c r="E432" s="20"/>
      <c r="F432" s="20"/>
      <c r="G432" s="20"/>
      <c r="H432" s="20"/>
      <c r="I432" s="20"/>
      <c r="J432" s="20"/>
      <c r="K432" s="20"/>
      <c r="L432" s="20"/>
    </row>
    <row r="433" spans="4:12" ht="14.25" x14ac:dyDescent="0.2">
      <c r="D433" s="20"/>
      <c r="E433" s="20"/>
      <c r="F433" s="20"/>
      <c r="G433" s="20"/>
      <c r="H433" s="20"/>
      <c r="I433" s="20"/>
      <c r="J433" s="20"/>
      <c r="K433" s="20"/>
      <c r="L433" s="20"/>
    </row>
    <row r="434" spans="4:12" ht="14.25" x14ac:dyDescent="0.2">
      <c r="D434" s="20"/>
      <c r="E434" s="20"/>
      <c r="F434" s="20"/>
      <c r="G434" s="20"/>
      <c r="H434" s="20"/>
      <c r="I434" s="20"/>
      <c r="J434" s="20"/>
      <c r="K434" s="20"/>
      <c r="L434" s="20"/>
    </row>
    <row r="435" spans="4:12" ht="14.25" x14ac:dyDescent="0.2">
      <c r="D435" s="20"/>
      <c r="E435" s="20"/>
      <c r="F435" s="20"/>
      <c r="G435" s="20"/>
      <c r="H435" s="20"/>
      <c r="I435" s="20"/>
      <c r="J435" s="20"/>
      <c r="K435" s="20"/>
      <c r="L435" s="20"/>
    </row>
    <row r="436" spans="4:12" ht="14.25" x14ac:dyDescent="0.2">
      <c r="D436" s="20"/>
      <c r="E436" s="20"/>
      <c r="F436" s="20"/>
      <c r="G436" s="20"/>
      <c r="H436" s="20"/>
      <c r="I436" s="20"/>
      <c r="J436" s="20"/>
      <c r="K436" s="20"/>
      <c r="L436" s="20"/>
    </row>
    <row r="437" spans="4:12" ht="14.25" x14ac:dyDescent="0.2">
      <c r="D437" s="20"/>
      <c r="E437" s="20"/>
      <c r="F437" s="20"/>
      <c r="G437" s="20"/>
      <c r="H437" s="20"/>
      <c r="I437" s="20"/>
      <c r="J437" s="20"/>
      <c r="K437" s="20"/>
      <c r="L437" s="20"/>
    </row>
    <row r="438" spans="4:12" ht="14.25" x14ac:dyDescent="0.2">
      <c r="D438" s="20"/>
      <c r="E438" s="20"/>
      <c r="F438" s="20"/>
      <c r="G438" s="20"/>
      <c r="H438" s="20"/>
      <c r="I438" s="20"/>
      <c r="J438" s="20"/>
      <c r="K438" s="20"/>
      <c r="L438" s="20"/>
    </row>
    <row r="439" spans="4:12" ht="14.25" x14ac:dyDescent="0.2">
      <c r="D439" s="20"/>
      <c r="E439" s="20"/>
      <c r="F439" s="20"/>
      <c r="G439" s="20"/>
      <c r="H439" s="20"/>
      <c r="I439" s="20"/>
      <c r="J439" s="20"/>
      <c r="K439" s="20"/>
      <c r="L439" s="20"/>
    </row>
    <row r="440" spans="4:12" ht="14.25" x14ac:dyDescent="0.2">
      <c r="D440" s="20"/>
      <c r="E440" s="20"/>
      <c r="F440" s="20"/>
      <c r="G440" s="20"/>
      <c r="H440" s="20"/>
      <c r="I440" s="20"/>
      <c r="J440" s="20"/>
      <c r="K440" s="20"/>
      <c r="L440" s="20"/>
    </row>
    <row r="441" spans="4:12" ht="14.25" x14ac:dyDescent="0.2">
      <c r="D441" s="20"/>
      <c r="E441" s="20"/>
      <c r="F441" s="20"/>
      <c r="G441" s="20"/>
      <c r="H441" s="20"/>
      <c r="I441" s="20"/>
      <c r="J441" s="20"/>
      <c r="K441" s="20"/>
      <c r="L441" s="20"/>
    </row>
    <row r="442" spans="4:12" ht="14.25" x14ac:dyDescent="0.2">
      <c r="D442" s="20"/>
      <c r="E442" s="20"/>
      <c r="F442" s="20"/>
      <c r="G442" s="20"/>
      <c r="H442" s="20"/>
      <c r="I442" s="20"/>
      <c r="J442" s="20"/>
      <c r="K442" s="20"/>
      <c r="L442" s="20"/>
    </row>
    <row r="443" spans="4:12" ht="14.25" x14ac:dyDescent="0.2">
      <c r="D443" s="20"/>
      <c r="E443" s="20"/>
      <c r="F443" s="20"/>
      <c r="G443" s="20"/>
      <c r="H443" s="20"/>
      <c r="I443" s="20"/>
      <c r="J443" s="20"/>
      <c r="K443" s="20"/>
      <c r="L443" s="20"/>
    </row>
  </sheetData>
  <dataConsolidate/>
  <mergeCells count="235">
    <mergeCell ref="E103:S103"/>
    <mergeCell ref="E104:S104"/>
    <mergeCell ref="AF103:AQ103"/>
    <mergeCell ref="AF104:AQ104"/>
    <mergeCell ref="N87:AL87"/>
    <mergeCell ref="AL76:AN76"/>
    <mergeCell ref="AP76:AR76"/>
    <mergeCell ref="AP77:AR77"/>
    <mergeCell ref="AP79:AR79"/>
    <mergeCell ref="N94:AL94"/>
    <mergeCell ref="N91:AR91"/>
    <mergeCell ref="N86:AL86"/>
    <mergeCell ref="N89:AL89"/>
    <mergeCell ref="K79:O79"/>
    <mergeCell ref="AG101:AQ101"/>
    <mergeCell ref="F96:K96"/>
    <mergeCell ref="F97:K97"/>
    <mergeCell ref="F98:K98"/>
    <mergeCell ref="N96:AR96"/>
    <mergeCell ref="N97:AS97"/>
    <mergeCell ref="N98:AL98"/>
    <mergeCell ref="N95:AR95"/>
    <mergeCell ref="F88:I88"/>
    <mergeCell ref="F92:I92"/>
    <mergeCell ref="E57:Y57"/>
    <mergeCell ref="E58:Y58"/>
    <mergeCell ref="E59:Y59"/>
    <mergeCell ref="E60:Y60"/>
    <mergeCell ref="E61:Y61"/>
    <mergeCell ref="E62:Y62"/>
    <mergeCell ref="AA57:AR57"/>
    <mergeCell ref="AA58:AR58"/>
    <mergeCell ref="AA59:AR59"/>
    <mergeCell ref="AA60:AR60"/>
    <mergeCell ref="F91:I91"/>
    <mergeCell ref="D76:N76"/>
    <mergeCell ref="N92:AL92"/>
    <mergeCell ref="N88:AL88"/>
    <mergeCell ref="D79:J79"/>
    <mergeCell ref="AA33:AR33"/>
    <mergeCell ref="AA34:AR34"/>
    <mergeCell ref="Z50:AB50"/>
    <mergeCell ref="Z49:AB49"/>
    <mergeCell ref="AP75:AR75"/>
    <mergeCell ref="AP51:AR51"/>
    <mergeCell ref="V47:X47"/>
    <mergeCell ref="R52:T52"/>
    <mergeCell ref="AP47:AR47"/>
    <mergeCell ref="AD50:AF50"/>
    <mergeCell ref="V50:X50"/>
    <mergeCell ref="AL49:AN49"/>
    <mergeCell ref="AA64:AR64"/>
    <mergeCell ref="AA61:AR61"/>
    <mergeCell ref="R47:T47"/>
    <mergeCell ref="R49:T49"/>
    <mergeCell ref="R73:T73"/>
    <mergeCell ref="V51:X51"/>
    <mergeCell ref="V75:X75"/>
    <mergeCell ref="AA56:AR56"/>
    <mergeCell ref="AH53:AJ53"/>
    <mergeCell ref="E55:Y55"/>
    <mergeCell ref="AA55:AR55"/>
    <mergeCell ref="AL51:AN51"/>
    <mergeCell ref="F89:I89"/>
    <mergeCell ref="F86:I86"/>
    <mergeCell ref="F93:I93"/>
    <mergeCell ref="R50:T50"/>
    <mergeCell ref="AM70:AS70"/>
    <mergeCell ref="AH76:AJ76"/>
    <mergeCell ref="AH79:AJ79"/>
    <mergeCell ref="AD77:AF77"/>
    <mergeCell ref="D84:Z84"/>
    <mergeCell ref="V79:X79"/>
    <mergeCell ref="Z79:AB79"/>
    <mergeCell ref="AM71:AS71"/>
    <mergeCell ref="E66:Y66"/>
    <mergeCell ref="AA66:AR66"/>
    <mergeCell ref="V73:X73"/>
    <mergeCell ref="D73:K73"/>
    <mergeCell ref="AP52:AR52"/>
    <mergeCell ref="AP53:AR53"/>
    <mergeCell ref="AP73:AR73"/>
    <mergeCell ref="D46:N46"/>
    <mergeCell ref="AD47:AF47"/>
    <mergeCell ref="Z47:AB47"/>
    <mergeCell ref="AP49:AR49"/>
    <mergeCell ref="AP50:AR50"/>
    <mergeCell ref="AH50:AJ50"/>
    <mergeCell ref="AH47:AJ47"/>
    <mergeCell ref="Z76:AB76"/>
    <mergeCell ref="AD76:AF76"/>
    <mergeCell ref="V76:X76"/>
    <mergeCell ref="AH51:AJ51"/>
    <mergeCell ref="E56:Y56"/>
    <mergeCell ref="Z52:AB52"/>
    <mergeCell ref="AD52:AF52"/>
    <mergeCell ref="D52:M52"/>
    <mergeCell ref="D49:M49"/>
    <mergeCell ref="D50:M50"/>
    <mergeCell ref="D51:M51"/>
    <mergeCell ref="AD49:AF49"/>
    <mergeCell ref="AA63:AR63"/>
    <mergeCell ref="AH49:AJ49"/>
    <mergeCell ref="Z53:AB53"/>
    <mergeCell ref="D71:P71"/>
    <mergeCell ref="AA65:AR65"/>
    <mergeCell ref="AL52:AN52"/>
    <mergeCell ref="V53:X53"/>
    <mergeCell ref="E24:Y24"/>
    <mergeCell ref="R51:T51"/>
    <mergeCell ref="AL79:AN79"/>
    <mergeCell ref="AH77:AJ77"/>
    <mergeCell ref="AL77:AN77"/>
    <mergeCell ref="Z73:AB73"/>
    <mergeCell ref="AD75:AF75"/>
    <mergeCell ref="Z75:AB75"/>
    <mergeCell ref="AH75:AJ75"/>
    <mergeCell ref="Z77:AB77"/>
    <mergeCell ref="AD79:AF79"/>
    <mergeCell ref="V77:X77"/>
    <mergeCell ref="V49:X49"/>
    <mergeCell ref="R76:T76"/>
    <mergeCell ref="D38:U38"/>
    <mergeCell ref="D40:J40"/>
    <mergeCell ref="M40:W40"/>
    <mergeCell ref="R70:W70"/>
    <mergeCell ref="E25:Y25"/>
    <mergeCell ref="D77:N77"/>
    <mergeCell ref="K53:O53"/>
    <mergeCell ref="V52:X52"/>
    <mergeCell ref="AH52:AJ52"/>
    <mergeCell ref="Z51:AB51"/>
    <mergeCell ref="AP4:AS4"/>
    <mergeCell ref="AL12:AN12"/>
    <mergeCell ref="AP3:AS3"/>
    <mergeCell ref="AL75:AN75"/>
    <mergeCell ref="AD73:AF73"/>
    <mergeCell ref="AH73:AJ73"/>
    <mergeCell ref="AL73:AN73"/>
    <mergeCell ref="AQ19:AS19"/>
    <mergeCell ref="AP12:AR12"/>
    <mergeCell ref="AP45:AR45"/>
    <mergeCell ref="AL50:AN50"/>
    <mergeCell ref="AL47:AN47"/>
    <mergeCell ref="AP11:AR11"/>
    <mergeCell ref="AH12:AJ12"/>
    <mergeCell ref="AL19:AP19"/>
    <mergeCell ref="AA62:AR62"/>
    <mergeCell ref="AA24:AR24"/>
    <mergeCell ref="AQ38:AS38"/>
    <mergeCell ref="AL38:AP38"/>
    <mergeCell ref="Y40:AE40"/>
    <mergeCell ref="AH40:AP40"/>
    <mergeCell ref="AD53:AF53"/>
    <mergeCell ref="AL53:AN53"/>
    <mergeCell ref="X21:AC21"/>
    <mergeCell ref="D3:U3"/>
    <mergeCell ref="D19:U19"/>
    <mergeCell ref="E20:Q20"/>
    <mergeCell ref="U20:AJ20"/>
    <mergeCell ref="V11:X11"/>
    <mergeCell ref="Z11:AB11"/>
    <mergeCell ref="AF3:AJ3"/>
    <mergeCell ref="AF4:AJ4"/>
    <mergeCell ref="AD11:AF11"/>
    <mergeCell ref="AH11:AJ11"/>
    <mergeCell ref="D6:F6"/>
    <mergeCell ref="D7:F7"/>
    <mergeCell ref="G6:V6"/>
    <mergeCell ref="G7:V7"/>
    <mergeCell ref="D11:M12"/>
    <mergeCell ref="H14:N14"/>
    <mergeCell ref="X6:AC7"/>
    <mergeCell ref="AD6:AN7"/>
    <mergeCell ref="Z12:AB12"/>
    <mergeCell ref="AD12:AF12"/>
    <mergeCell ref="V12:X12"/>
    <mergeCell ref="E23:Y23"/>
    <mergeCell ref="R45:X45"/>
    <mergeCell ref="D36:U36"/>
    <mergeCell ref="E33:Y33"/>
    <mergeCell ref="R11:T11"/>
    <mergeCell ref="D21:F21"/>
    <mergeCell ref="L21:S21"/>
    <mergeCell ref="AA23:AR23"/>
    <mergeCell ref="E34:Y34"/>
    <mergeCell ref="AA25:AR25"/>
    <mergeCell ref="AA32:AR32"/>
    <mergeCell ref="X36:AS36"/>
    <mergeCell ref="E26:Y26"/>
    <mergeCell ref="E27:Y27"/>
    <mergeCell ref="D45:O45"/>
    <mergeCell ref="E32:Y32"/>
    <mergeCell ref="AL45:AN45"/>
    <mergeCell ref="AI21:AN21"/>
    <mergeCell ref="AL11:AN11"/>
    <mergeCell ref="W14:AE14"/>
    <mergeCell ref="AG14:AH14"/>
    <mergeCell ref="AJ14:AR14"/>
    <mergeCell ref="T14:U14"/>
    <mergeCell ref="R12:T12"/>
    <mergeCell ref="E28:Y28"/>
    <mergeCell ref="E29:Y29"/>
    <mergeCell ref="E30:Y30"/>
    <mergeCell ref="E31:Y31"/>
    <mergeCell ref="AA26:AR26"/>
    <mergeCell ref="AA27:AR27"/>
    <mergeCell ref="AA28:AR28"/>
    <mergeCell ref="AA29:AR29"/>
    <mergeCell ref="AA30:AR30"/>
    <mergeCell ref="AA31:AR31"/>
    <mergeCell ref="Z45:AB45"/>
    <mergeCell ref="U103:AE103"/>
    <mergeCell ref="U104:AE104"/>
    <mergeCell ref="E101:AE101"/>
    <mergeCell ref="AD45:AF45"/>
    <mergeCell ref="AH45:AJ45"/>
    <mergeCell ref="E63:Y63"/>
    <mergeCell ref="E64:Y64"/>
    <mergeCell ref="E65:Y65"/>
    <mergeCell ref="F87:M87"/>
    <mergeCell ref="N90:AL90"/>
    <mergeCell ref="D75:N75"/>
    <mergeCell ref="R75:T75"/>
    <mergeCell ref="D70:P70"/>
    <mergeCell ref="F94:J94"/>
    <mergeCell ref="R79:T79"/>
    <mergeCell ref="R83:X83"/>
    <mergeCell ref="R77:T77"/>
    <mergeCell ref="F90:I90"/>
    <mergeCell ref="F95:K95"/>
    <mergeCell ref="D83:M83"/>
    <mergeCell ref="R53:T53"/>
    <mergeCell ref="N93:AL93"/>
    <mergeCell ref="AD51:AF51"/>
  </mergeCells>
  <phoneticPr fontId="1" type="noConversion"/>
  <conditionalFormatting sqref="R12:T12 V12:X12 Z12:AB12 AD12:AF12 AH12:AJ12 AL12:AN12 AP12:AR12">
    <cfRule type="expression" dxfId="3" priority="1" stopIfTrue="1">
      <formula>R12&gt;=70</formula>
    </cfRule>
  </conditionalFormatting>
  <conditionalFormatting sqref="R12:T12 V12:X12 Z12:AB12 AD12:AF12 AH12:AJ12 AL12:AN12 AP12:AR12">
    <cfRule type="expression" dxfId="2" priority="4" stopIfTrue="1">
      <formula>R12&lt;50</formula>
    </cfRule>
    <cfRule type="expression" dxfId="1" priority="5">
      <formula>R12&lt;70</formula>
    </cfRule>
    <cfRule type="expression" dxfId="0" priority="6">
      <formula>R12&gt;50</formula>
    </cfRule>
  </conditionalFormatting>
  <dataValidations count="2">
    <dataValidation type="list" allowBlank="1" showInputMessage="1" showErrorMessage="1" sqref="H21 U21 AE21 AP21 V49:X52 AH49:AJ52 AD49:AF52 Z49:AB52 R49:T52 AF40 AL49:AN52 X40 K40 AQ40 AP49:AR52" xr:uid="{5CBAF059-5480-4774-AEB1-705623AEB38E}">
      <formula1>$BB$2:$BB$3</formula1>
    </dataValidation>
    <dataValidation type="list" allowBlank="1" showInputMessage="1" showErrorMessage="1" sqref="M38:T38" xr:uid="{179DBB47-DD8D-44F5-8DB2-B52E0B047E5A}">
      <formula1>$AY$4:$AY$7</formula1>
    </dataValidation>
  </dataValidations>
  <printOptions horizontalCentered="1" verticalCentered="1"/>
  <pageMargins left="0.31496062992125984" right="0.35433070866141736" top="1.5748031496062993" bottom="0.43307086614173229" header="0.15748031496062992" footer="0.19685039370078741"/>
  <pageSetup paperSize="9" scale="85" orientation="portrait" r:id="rId1"/>
  <headerFooter alignWithMargins="0"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7" r:id="rId5" name="Check Box 53">
              <controlPr defaultSize="0" autoFill="0" autoLine="0" autoPict="0">
                <anchor moveWithCells="1">
                  <from>
                    <xdr:col>3</xdr:col>
                    <xdr:colOff>47625</xdr:colOff>
                    <xdr:row>84</xdr:row>
                    <xdr:rowOff>114300</xdr:rowOff>
                  </from>
                  <to>
                    <xdr:col>4</xdr:col>
                    <xdr:colOff>57150</xdr:colOff>
                    <xdr:row>86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6" name="Check Box 54">
              <controlPr defaultSize="0" autoFill="0" autoLine="0" autoPict="0">
                <anchor moveWithCells="1">
                  <from>
                    <xdr:col>3</xdr:col>
                    <xdr:colOff>47625</xdr:colOff>
                    <xdr:row>85</xdr:row>
                    <xdr:rowOff>123825</xdr:rowOff>
                  </from>
                  <to>
                    <xdr:col>4</xdr:col>
                    <xdr:colOff>57150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7" name="Check Box 55">
              <controlPr defaultSize="0" autoFill="0" autoLine="0" autoPict="0">
                <anchor moveWithCells="1">
                  <from>
                    <xdr:col>3</xdr:col>
                    <xdr:colOff>47625</xdr:colOff>
                    <xdr:row>86</xdr:row>
                    <xdr:rowOff>133350</xdr:rowOff>
                  </from>
                  <to>
                    <xdr:col>4</xdr:col>
                    <xdr:colOff>57150</xdr:colOff>
                    <xdr:row>88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8" name="Check Box 56">
              <controlPr defaultSize="0" autoFill="0" autoLine="0" autoPict="0">
                <anchor moveWithCells="1">
                  <from>
                    <xdr:col>3</xdr:col>
                    <xdr:colOff>47625</xdr:colOff>
                    <xdr:row>87</xdr:row>
                    <xdr:rowOff>123825</xdr:rowOff>
                  </from>
                  <to>
                    <xdr:col>4</xdr:col>
                    <xdr:colOff>57150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9" name="Check Box 57">
              <controlPr defaultSize="0" autoFill="0" autoLine="0" autoPict="0">
                <anchor moveWithCells="1">
                  <from>
                    <xdr:col>3</xdr:col>
                    <xdr:colOff>47625</xdr:colOff>
                    <xdr:row>88</xdr:row>
                    <xdr:rowOff>123825</xdr:rowOff>
                  </from>
                  <to>
                    <xdr:col>4</xdr:col>
                    <xdr:colOff>57150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0" name="Check Box 58">
              <controlPr defaultSize="0" autoFill="0" autoLine="0" autoPict="0">
                <anchor moveWithCells="1">
                  <from>
                    <xdr:col>3</xdr:col>
                    <xdr:colOff>47625</xdr:colOff>
                    <xdr:row>89</xdr:row>
                    <xdr:rowOff>123825</xdr:rowOff>
                  </from>
                  <to>
                    <xdr:col>4</xdr:col>
                    <xdr:colOff>57150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1" name="Check Box 59">
              <controlPr defaultSize="0" autoFill="0" autoLine="0" autoPict="0">
                <anchor moveWithCells="1">
                  <from>
                    <xdr:col>3</xdr:col>
                    <xdr:colOff>47625</xdr:colOff>
                    <xdr:row>90</xdr:row>
                    <xdr:rowOff>123825</xdr:rowOff>
                  </from>
                  <to>
                    <xdr:col>4</xdr:col>
                    <xdr:colOff>57150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2" name="Check Box 60">
              <controlPr defaultSize="0" autoFill="0" autoLine="0" autoPict="0">
                <anchor moveWithCells="1">
                  <from>
                    <xdr:col>3</xdr:col>
                    <xdr:colOff>47625</xdr:colOff>
                    <xdr:row>91</xdr:row>
                    <xdr:rowOff>133350</xdr:rowOff>
                  </from>
                  <to>
                    <xdr:col>4</xdr:col>
                    <xdr:colOff>57150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3" name="Check Box 61">
              <controlPr defaultSize="0" autoFill="0" autoLine="0" autoPict="0">
                <anchor moveWithCells="1">
                  <from>
                    <xdr:col>3</xdr:col>
                    <xdr:colOff>47625</xdr:colOff>
                    <xdr:row>92</xdr:row>
                    <xdr:rowOff>161925</xdr:rowOff>
                  </from>
                  <to>
                    <xdr:col>4</xdr:col>
                    <xdr:colOff>57150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4" name="Check Box 177">
              <controlPr defaultSize="0" autoFill="0" autoLine="0" autoPict="0">
                <anchor moveWithCells="1">
                  <from>
                    <xdr:col>3</xdr:col>
                    <xdr:colOff>47625</xdr:colOff>
                    <xdr:row>93</xdr:row>
                    <xdr:rowOff>180975</xdr:rowOff>
                  </from>
                  <to>
                    <xdr:col>4</xdr:col>
                    <xdr:colOff>57150</xdr:colOff>
                    <xdr:row>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5" name="Check Box 178">
              <controlPr defaultSize="0" autoFill="0" autoLine="0" autoPict="0">
                <anchor moveWithCells="1">
                  <from>
                    <xdr:col>3</xdr:col>
                    <xdr:colOff>47625</xdr:colOff>
                    <xdr:row>94</xdr:row>
                    <xdr:rowOff>276225</xdr:rowOff>
                  </from>
                  <to>
                    <xdr:col>4</xdr:col>
                    <xdr:colOff>57150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6" name="Check Box 179">
              <controlPr defaultSize="0" autoFill="0" autoLine="0" autoPict="0">
                <anchor moveWithCells="1">
                  <from>
                    <xdr:col>3</xdr:col>
                    <xdr:colOff>47625</xdr:colOff>
                    <xdr:row>95</xdr:row>
                    <xdr:rowOff>180975</xdr:rowOff>
                  </from>
                  <to>
                    <xdr:col>4</xdr:col>
                    <xdr:colOff>57150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7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97</xdr:row>
                    <xdr:rowOff>0</xdr:rowOff>
                  </from>
                  <to>
                    <xdr:col>4</xdr:col>
                    <xdr:colOff>57150</xdr:colOff>
                    <xdr:row>98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LongProperties xmlns="http://schemas.microsoft.com/office/2006/metadata/longPropertie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8F5A184894F3C44B632F765A013516D" ma:contentTypeVersion="13" ma:contentTypeDescription="Crear nuevo documento." ma:contentTypeScope="" ma:versionID="78d32fd2da2d0de68913107caa24507d">
  <xsd:schema xmlns:xsd="http://www.w3.org/2001/XMLSchema" xmlns:p="http://schemas.microsoft.com/office/2006/metadata/properties" xmlns:ns2="5eb8ece1-11f5-46ce-a227-758f7a6acd28" targetNamespace="http://schemas.microsoft.com/office/2006/metadata/properties" ma:root="true" ma:fieldsID="fb97f7089d9de631c2d9c7a53c029c9c" ns2:_="">
    <xsd:import namespace="5eb8ece1-11f5-46ce-a227-758f7a6acd28"/>
    <xsd:element name="properties">
      <xsd:complexType>
        <xsd:sequence>
          <xsd:element name="documentManagement">
            <xsd:complexType>
              <xsd:all>
                <xsd:element ref="ns2:T_x00ed_tulo"/>
                <xsd:element ref="ns2:C_x00f3_digo"/>
                <xsd:element ref="ns2:Proceso_x0020_Principal"/>
                <xsd:element ref="ns2:Tipo_x0020_Documento"/>
                <xsd:element ref="ns2:Alcance_x0020_Organizacional"/>
                <xsd:element ref="ns2:Alcance_x0020__x0028_Geogr_x00e1_fico_x0029_"/>
                <xsd:element ref="ns2:Fecha_x0020_Publicaci_x00f3_n"/>
                <xsd:element ref="ns2:Idioma"/>
                <xsd:element ref="ns2:Estado"/>
                <xsd:element ref="ns2:Link_x0020_a_x0020_Documento_x0020_Original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5eb8ece1-11f5-46ce-a227-758f7a6acd28" elementFormDefault="qualified">
    <xsd:import namespace="http://schemas.microsoft.com/office/2006/documentManagement/types"/>
    <xsd:element name="T_x00ed_tulo" ma:index="8" ma:displayName="Título" ma:internalName="T_x00ed_tulo">
      <xsd:simpleType>
        <xsd:restriction base="dms:Text">
          <xsd:maxLength value="255"/>
        </xsd:restriction>
      </xsd:simpleType>
    </xsd:element>
    <xsd:element name="C_x00f3_digo" ma:index="9" ma:displayName="Código" ma:internalName="C_x00f3_digo">
      <xsd:simpleType>
        <xsd:restriction base="dms:Text">
          <xsd:maxLength value="100"/>
        </xsd:restriction>
      </xsd:simpleType>
    </xsd:element>
    <xsd:element name="Proceso_x0020_Principal" ma:index="10" ma:displayName="Proceso Principal" ma:list="{9d0efb3b-dc17-420e-aac9-6e8ba2beceaf}" ma:internalName="Proceso_x0020_Principal" ma:showField="Title">
      <xsd:simpleType>
        <xsd:restriction base="dms:Lookup"/>
      </xsd:simpleType>
    </xsd:element>
    <xsd:element name="Tipo_x0020_Documento" ma:index="11" ma:displayName="Tipo Documento" ma:list="{1dd7c83a-9b79-41a6-9b9c-d455e7eff97c}" ma:internalName="Tipo_x0020_Documento" ma:showField="Title">
      <xsd:simpleType>
        <xsd:restriction base="dms:Lookup"/>
      </xsd:simpleType>
    </xsd:element>
    <xsd:element name="Alcance_x0020_Organizacional" ma:index="12" ma:displayName="Alcance Organizacional" ma:list="{fb583578-43cd-469d-8bce-b7e721f0dd2e}" ma:internalName="Alcance_x0020_Organizacional" ma:showField="Title">
      <xsd:simpleType>
        <xsd:restriction base="dms:Lookup"/>
      </xsd:simpleType>
    </xsd:element>
    <xsd:element name="Alcance_x0020__x0028_Geogr_x00e1_fico_x0029_" ma:index="13" ma:displayName="Alcance (Geográfico)" ma:list="{f11a22a6-ec0c-49c6-8559-360b69cb4aab}" ma:internalName="Alcance_x0020__x0028_Geogr_x00e1_fico_x0029_" ma:showField="Title">
      <xsd:simpleType>
        <xsd:restriction base="dms:Lookup"/>
      </xsd:simpleType>
    </xsd:element>
    <xsd:element name="Fecha_x0020_Publicaci_x00f3_n" ma:index="14" ma:displayName="Fecha Publicación" ma:default="[today]" ma:format="DateOnly" ma:internalName="Fecha_x0020_Publicaci_x00f3_n">
      <xsd:simpleType>
        <xsd:restriction base="dms:DateTime"/>
      </xsd:simpleType>
    </xsd:element>
    <xsd:element name="Idioma" ma:index="15" ma:displayName="Idioma" ma:list="{7ed8c52c-e24e-4ef3-8d52-64c6b5f28a51}" ma:internalName="Idioma" ma:showField="Title">
      <xsd:simpleType>
        <xsd:restriction base="dms:Lookup"/>
      </xsd:simpleType>
    </xsd:element>
    <xsd:element name="Estado" ma:index="16" ma:displayName="Estado" ma:list="{b33dc7cc-ce8a-42f6-bb81-3ec6c4c43a46}" ma:internalName="Estado" ma:readOnly="false" ma:showField="Title">
      <xsd:simpleType>
        <xsd:restriction base="dms:Lookup"/>
      </xsd:simpleType>
    </xsd:element>
    <xsd:element name="Link_x0020_a_x0020_Documento_x0020_Original" ma:index="18" nillable="true" ma:displayName="Link a Documento Original" ma:description="/sites/DocumentacionAAN/Centro%20Documentos/Forms/DispForm.aspx?ID=" ma:format="Hyperlink" ma:internalName="Link_x0020_a_x0020_Documento_x0020_Origina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 ma:readOnly="true"/>
        <xsd:element ref="dc:title" minOccurs="0" maxOccurs="1" ma:index="4" ma:displayName="Microsoft_Title(Opcional)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3BA07B-4B82-4F8C-B054-C412C2B83F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BA26BB-7A24-4FBB-A486-28ABFF9D9856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621A3533-17D6-4B2A-A1B9-0C700013D5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b8ece1-11f5-46ce-a227-758f7a6acd28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Calificación Auditores Líderes</vt:lpstr>
      <vt:lpstr>'Calificación Auditores Líderes'!Área_de_impresión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MUNEVAR SUAREZ, MONICA ROCIO</dc:creator>
  <cp:keywords/>
  <dc:description/>
  <cp:lastModifiedBy>User</cp:lastModifiedBy>
  <cp:revision/>
  <cp:lastPrinted>2025-02-17T16:20:44Z</cp:lastPrinted>
  <dcterms:created xsi:type="dcterms:W3CDTF">2006-02-20T21:29:38Z</dcterms:created>
  <dcterms:modified xsi:type="dcterms:W3CDTF">2025-02-17T16:20:52Z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ódigo">
    <vt:lpwstr>SQMP500F01.801</vt:lpwstr>
  </property>
  <property fmtid="{D5CDD505-2E9C-101B-9397-08002B2CF9AE}" pid="4" name="Tipo Documento">
    <vt:lpwstr>4</vt:lpwstr>
  </property>
  <property fmtid="{D5CDD505-2E9C-101B-9397-08002B2CF9AE}" pid="5" name="Proceso Principal">
    <vt:lpwstr>131</vt:lpwstr>
  </property>
  <property fmtid="{D5CDD505-2E9C-101B-9397-08002B2CF9AE}" pid="6" name="Fecha Publicación">
    <vt:lpwstr>2013-11-07T00:00:00Z</vt:lpwstr>
  </property>
  <property fmtid="{D5CDD505-2E9C-101B-9397-08002B2CF9AE}" pid="7" name="Idioma">
    <vt:lpwstr>1</vt:lpwstr>
  </property>
  <property fmtid="{D5CDD505-2E9C-101B-9397-08002B2CF9AE}" pid="8" name="Estado">
    <vt:lpwstr>1</vt:lpwstr>
  </property>
  <property fmtid="{D5CDD505-2E9C-101B-9397-08002B2CF9AE}" pid="9" name="Link a Documento Original">
    <vt:lpwstr/>
  </property>
  <property fmtid="{D5CDD505-2E9C-101B-9397-08002B2CF9AE}" pid="10" name="ContentType">
    <vt:lpwstr>Documento</vt:lpwstr>
  </property>
  <property fmtid="{D5CDD505-2E9C-101B-9397-08002B2CF9AE}" pid="11" name="Título">
    <vt:lpwstr>Calificación de Auditores Internos AAN</vt:lpwstr>
  </property>
  <property fmtid="{D5CDD505-2E9C-101B-9397-08002B2CF9AE}" pid="12" name="Alcance Organizacional">
    <vt:lpwstr>15</vt:lpwstr>
  </property>
  <property fmtid="{D5CDD505-2E9C-101B-9397-08002B2CF9AE}" pid="13" name="Alcance (Geográfico)">
    <vt:lpwstr>40</vt:lpwstr>
  </property>
  <property fmtid="{D5CDD505-2E9C-101B-9397-08002B2CF9AE}" pid="14" name="_AdHocReviewCycleID">
    <vt:i4>-955892967</vt:i4>
  </property>
  <property fmtid="{D5CDD505-2E9C-101B-9397-08002B2CF9AE}" pid="15" name="_EmailSubject">
    <vt:lpwstr>Formato calificación auditores internos</vt:lpwstr>
  </property>
  <property fmtid="{D5CDD505-2E9C-101B-9397-08002B2CF9AE}" pid="16" name="_AuthorEmail">
    <vt:lpwstr>monica.munevar@siemens.com</vt:lpwstr>
  </property>
  <property fmtid="{D5CDD505-2E9C-101B-9397-08002B2CF9AE}" pid="17" name="_AuthorEmailDisplayName">
    <vt:lpwstr>MUNEVAR SUAREZ, MONICA ROCIO</vt:lpwstr>
  </property>
  <property fmtid="{D5CDD505-2E9C-101B-9397-08002B2CF9AE}" pid="18" name="_ReviewingToolsShownOnce">
    <vt:lpwstr/>
  </property>
</Properties>
</file>